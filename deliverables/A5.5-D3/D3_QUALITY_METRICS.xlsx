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1adb35033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db4d1972f54fee"/>
    <x:sheet xmlns:r="http://schemas.openxmlformats.org/officeDocument/2006/relationships" name="Metrics" sheetId="2" r:id="R85332cc419404172"/>
    <x:sheet xmlns:r="http://schemas.openxmlformats.org/officeDocument/2006/relationships" name="Usage" sheetId="3" r:id="R6e0ca19082af4f77"/>
    <x:sheet xmlns:r="http://schemas.openxmlformats.org/officeDocument/2006/relationships" name="Confusions" sheetId="4" r:id="Rb7a618e063a8458e"/>
    <x:sheet xmlns:r="http://schemas.openxmlformats.org/officeDocument/2006/relationships" name="Failures" sheetId="5" r:id="R34b3ecea7521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"/>
    <x:numFmt numFmtId="202" formatCode="0.0&quot; pp&quot;"/>
    <x:numFmt numFmtId="203" formatCode="&quot;$&quot;0.000000"/>
  </x:numFmts>
  <x:fonts count="5">
    <x:font>
      <x:sz val="11"/>
      <x:name val="Carlito"/>
    </x:font>
    <x:font>
      <x:b/>
      <x:sz val="14"/>
      <x:color rgb="FF172B4D"/>
      <x:name val="Arial"/>
    </x:font>
    <x:font>
      <x:sz val="10"/>
      <x:color rgb="FF172B4D"/>
      <x:name val="Arial"/>
    </x:font>
    <x:font>
      <x:b/>
      <x:sz val="10"/>
      <x:color rgb="FFFFFFFF"/>
      <x:name val="Arial"/>
    </x:font>
    <x:font>
      <x:sz val="10"/>
      <x:color rgb="FF5E6C8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85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4B4C8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203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AE2A19"/>
      </x:font>
      <x:fill>
        <x:patternFill patternType="solid">
          <x:bgColor rgb="FFFDE9E7"/>
        </x:patternFill>
      </x:fill>
    </x:dxf>
    <x:dxf>
      <x:font>
        <x:b/>
        <x:color rgb="FFAE2A19"/>
      </x:font>
      <x:fill>
        <x:patternFill patternType="solid">
          <x:bgColor rgb="FFFDE9E7"/>
        </x:patternFill>
      </x:fill>
    </x:dxf>
    <x:dxf>
      <x:font>
        <x:b/>
        <x:color rgb="FFAE2A19"/>
      </x:font>
      <x:fill>
        <x:patternFill patternType="solid">
          <x:bgColor rgb="FFFDE9E7"/>
        </x:patternFill>
      </x:fill>
    </x:dxf>
    <x:dxf>
      <x:font>
        <x:b/>
        <x:color rgb="FFAE2A19"/>
      </x:font>
      <x:fill>
        <x:patternFill patternType="solid">
          <x:bgColor rgb="FFFDE9E7"/>
        </x:patternFill>
      </x:fill>
    </x:dxf>
    <x:dxf>
      <x:font>
        <x:b/>
        <x:color rgb="FFAE2A19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fe735986b4a4d" /><Relationship Type="http://schemas.openxmlformats.org/officeDocument/2006/relationships/theme" Target="/xl/theme/theme1.xml" Id="Rc59e2a1247284b8b" /><Relationship Type="http://schemas.openxmlformats.org/officeDocument/2006/relationships/sharedStrings" Target="/xl/sharedStrings.xml" Id="R7bec4eab708b44da" /><Relationship Type="http://schemas.openxmlformats.org/officeDocument/2006/relationships/worksheet" Target="/xl/worksheets/sheet1.xml" Id="R31db4d1972f54fee" /><Relationship Type="http://schemas.openxmlformats.org/officeDocument/2006/relationships/worksheet" Target="/xl/worksheets/sheet2.xml" Id="R85332cc419404172" /><Relationship Type="http://schemas.openxmlformats.org/officeDocument/2006/relationships/worksheet" Target="/xl/worksheets/sheet3.xml" Id="R6e0ca19082af4f77" /><Relationship Type="http://schemas.openxmlformats.org/officeDocument/2006/relationships/worksheet" Target="/xl/worksheets/sheet4.xml" Id="Rb7a618e063a8458e" /><Relationship Type="http://schemas.openxmlformats.org/officeDocument/2006/relationships/worksheet" Target="/xl/worksheets/sheet5.xml" Id="R34b3ecea7521474f" /></Relationships>
</file>

<file path=xl/tables/table1.xml><?xml version="1.0" encoding="utf-8"?>
<x:table xmlns:x="http://schemas.openxmlformats.org/spreadsheetml/2006/main" id="1" name="T_Summary" displayName="T_Summary" ref="A5:G7" headerRowCount="1" totalsRowCount="0" totalsRowShown="0">
  <x:autoFilter ref="A5:G7"/>
  <x:tableColumns count="7">
    <x:tableColumn id="1" name="分集"/>
    <x:tableColumn id="2" name="D2可判定数"/>
    <x:tableColumn id="3" name="D2机制Correct率"/>
    <x:tableColumn id="4" name="D3可判定数"/>
    <x:tableColumn id="5" name="D3机制Correct率"/>
    <x:tableColumn id="6" name="变化（百分点）"/>
    <x:tableColumn id="7" name="证据等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Metrics" displayName="T_Metrics" ref="A5:L740" headerRowCount="1" totalsRowCount="0" totalsRowShown="0">
  <x:autoFilter ref="A5:L740"/>
  <x:tableColumns count="12">
    <x:tableColumn id="1" name="范围"/>
    <x:tableColumn id="2" name="分集"/>
    <x:tableColumn id="3" name="配置"/>
    <x:tableColumn id="4" name="指标"/>
    <x:tableColumn id="5" name="分子"/>
    <x:tableColumn id="6" name="分母"/>
    <x:tableColumn id="7" name="值"/>
    <x:tableColumn id="8" name="标签等级"/>
    <x:tableColumn id="9" name="样本数"/>
    <x:tableColumn id="10" name="未知/不适用数"/>
    <x:tableColumn id="11" name="单位"/>
    <x:tableColumn id="12" name="分母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Usage" displayName="T_Usage" ref="A5:K21" headerRowCount="1" totalsRowCount="0" totalsRowShown="0">
  <x:autoFilter ref="A5:K21"/>
  <x:tableColumns count="11">
    <x:tableColumn id="1" name="阶段"/>
    <x:tableColumn id="2" name="尝试"/>
    <x:tableColumn id="3" name="返回usage"/>
    <x:tableColumn id="4" name="有效输出"/>
    <x:tableColumn id="5" name="失败"/>
    <x:tableColumn id="6" name="输入token"/>
    <x:tableColumn id="7" name="输出token"/>
    <x:tableColumn id="8" name="缓存命中token"/>
    <x:tableColumn id="9" name="峰时USD上界估算"/>
    <x:tableColumn id="10" name="usage缺失"/>
    <x:tableColumn id="11" name="耗时秒累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Confusions" displayName="T_Confusions" ref="A5:D42" headerRowCount="1" totalsRowCount="0" totalsRowShown="0">
  <x:autoFilter ref="A5:D42"/>
  <x:tableColumns count="4">
    <x:tableColumn id="1" name="系统"/>
    <x:tableColumn id="2" name="原预测"/>
    <x:tableColumn id="3" name="独立Silver参考"/>
    <x:tableColumn id="4" name="节点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Failures" displayName="T_Failures" ref="A5:E24" headerRowCount="1" totalsRowCount="0" totalsRowShown="0">
  <x:autoFilter ref="A5:E24"/>
  <x:tableColumns count="5">
    <x:tableColumn id="1" name="Family ID"/>
    <x:tableColumn id="2" name="状态"/>
    <x:tableColumn id="3" name="错误"/>
    <x:tableColumn id="4" name="标题"/>
    <x:tableColumn id="5" name="原文哈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70c9dbb33e4c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1053b32dc94e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78b8fbc59445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b4efbb1f2c4b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febaa21aa142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24" hidden="0" customWidth="1"/>
    <x:col min="4" max="4" width="20" hidden="0" customWidth="1"/>
    <x:col min="5" max="5" width="24" hidden="0" customWidth="1"/>
    <x:col min="6" max="6" width="24" hidden="0" customWidth="1"/>
    <x:col min="7" max="7" width="19" hidden="0" customWidth="1"/>
  </x:cols>
  <x:sheetData>
    <x:row r="2">
      <x:c r="A2" s="1" t="str">
        <x:v>D2与D3质量对照</x:v>
      </x:c>
    </x:row>
    <x:row r="3">
      <x:c r="A3" s="13" t="str">
        <x:v>人工Gold=0，人工准确率N/A；下列为同模型Silver对照。</x:v>
      </x:c>
      <x:c r="B3" s="2"/>
      <x:c r="C3" s="2"/>
      <x:c r="D3" s="2"/>
      <x:c r="E3" s="2"/>
      <x:c r="F3" s="2"/>
      <x:c r="G3" s="2"/>
    </x:row>
    <x:row r="5" ht="32" customHeight="1">
      <x:c r="A5" s="9" t="str">
        <x:v>分集</x:v>
      </x:c>
      <x:c r="B5" s="9" t="str">
        <x:v>D2可判定数</x:v>
      </x:c>
      <x:c r="C5" s="9" t="str">
        <x:v>D2机制Correct率</x:v>
      </x:c>
      <x:c r="D5" s="9" t="str">
        <x:v>D3可判定数</x:v>
      </x:c>
      <x:c r="E5" s="9" t="str">
        <x:v>D3机制Correct率</x:v>
      </x:c>
      <x:c r="F5" s="9" t="str">
        <x:v>变化（百分点）</x:v>
      </x:c>
      <x:c r="G5" s="9" t="str">
        <x:v>证据等级</x:v>
      </x:c>
    </x:row>
    <x:row r="6" ht="20" hidden="0" customHeight="1">
      <x:c r="A6" s="5" t="str">
        <x:v>Development</x:v>
      </x:c>
      <x:c r="B6" s="5" t="n">
        <x:f>'Metrics'!F10</x:f>
        <x:v>86</x:v>
      </x:c>
      <x:c r="C6" s="10" t="n">
        <x:f>'Metrics'!G10</x:f>
        <x:v>0.7093023255813954</x:v>
      </x:c>
      <x:c r="D6" s="5" t="n">
        <x:f>'Metrics'!F109</x:f>
        <x:v>86</x:v>
      </x:c>
      <x:c r="E6" s="10" t="n">
        <x:f>'Metrics'!G109</x:f>
        <x:v>0.9534883720930233</x:v>
      </x:c>
      <x:c r="F6" s="12" t="n">
        <x:f>IF(OR(C6="N/A",E6="N/A"),"N/A",(E6-C6)*100)</x:f>
        <x:v>24.418604651162788</x:v>
      </x:c>
      <x:c r="G6" s="5" t="str">
        <x:v>Silver</x:v>
      </x:c>
    </x:row>
    <x:row r="7" ht="20" hidden="0" customHeight="1">
      <x:c r="A7" s="5" t="str">
        <x:v>Holdout</x:v>
      </x:c>
      <x:c r="B7" s="5" t="n">
        <x:f>'Metrics'!F340</x:f>
        <x:v>25</x:v>
      </x:c>
      <x:c r="C7" s="10" t="n">
        <x:f>'Metrics'!G340</x:f>
        <x:v>0.72</x:v>
      </x:c>
      <x:c r="D7" s="5" t="n">
        <x:f>'Metrics'!F439</x:f>
        <x:v>25</x:v>
      </x:c>
      <x:c r="E7" s="10" t="n">
        <x:f>'Metrics'!G439</x:f>
        <x:v>1</x:v>
      </x:c>
      <x:c r="F7" s="12" t="n">
        <x:f>IF(OR(C7="N/A",E7="N/A"),"N/A",(E7-C7)*100)</x:f>
        <x:v>28.000000000000004</x:v>
      </x:c>
      <x:c r="G7" s="5" t="str">
        <x:v>Silver</x:v>
      </x:c>
    </x:row>
  </x:sheetData>
  <x:conditionalFormatting sqref="A6:G7">
    <x:cfRule type="containsText" dxfId="0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f670c9dbb33e4cb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28" hidden="0" customWidth="1"/>
    <x:col min="4" max="4" width="47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  <x:col min="10" max="10" width="20" hidden="0" customWidth="1"/>
    <x:col min="11" max="11" width="25" hidden="0" customWidth="1"/>
    <x:col min="12" max="12" width="110" hidden="0" customWidth="1"/>
  </x:cols>
  <x:sheetData>
    <x:row r="2">
      <x:c r="A2" s="1" t="str">
        <x:v>完整指标、分母与未知项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32" customHeight="1">
      <x:c r="A5" s="9" t="str">
        <x:v>范围</x:v>
      </x:c>
      <x:c r="B5" s="9" t="str">
        <x:v>分集</x:v>
      </x:c>
      <x:c r="C5" s="9" t="str">
        <x:v>配置</x:v>
      </x:c>
      <x:c r="D5" s="9" t="str">
        <x:v>指标</x:v>
      </x:c>
      <x:c r="E5" s="9" t="str">
        <x:v>分子</x:v>
      </x:c>
      <x:c r="F5" s="9" t="str">
        <x:v>分母</x:v>
      </x:c>
      <x:c r="G5" s="9" t="str">
        <x:v>值</x:v>
      </x:c>
      <x:c r="H5" s="9" t="str">
        <x:v>标签等级</x:v>
      </x:c>
      <x:c r="I5" s="9" t="str">
        <x:v>样本数</x:v>
      </x:c>
      <x:c r="J5" s="9" t="str">
        <x:v>未知/不适用数</x:v>
      </x:c>
      <x:c r="K5" s="9" t="str">
        <x:v>单位</x:v>
      </x:c>
      <x:c r="L5" s="9" t="str">
        <x:v>分母说明</x:v>
      </x:c>
    </x:row>
    <x:row r="6" ht="20" hidden="0" customHeight="1">
      <x:c r="A6" s="5" t="str">
        <x:v>paired_full</x:v>
      </x:c>
      <x:c r="B6" s="5" t="str">
        <x:v>development</x:v>
      </x:c>
      <x:c r="C6" s="5" t="str">
        <x:v>D2_ARCHIVED</x:v>
      </x:c>
      <x:c r="D6" s="5" t="str">
        <x:v>technical_object_correct_rate</x:v>
      </x:c>
      <x:c r="E6" s="5" t="n">
        <x:v>82</x:v>
      </x:c>
      <x:c r="F6" s="5" t="n">
        <x:v>94</x:v>
      </x:c>
      <x:c r="G6" s="10" t="n">
        <x:f>IF(COUNTBLANK(E6:F6)&gt;0,"N/A",IF(F6=0,"N/A",E6/F6))</x:f>
        <x:v>0.8723404255319149</x:v>
      </x:c>
      <x:c r="H6" s="5" t="str">
        <x:v>Silver</x:v>
      </x:c>
      <x:c r="I6" s="5" t="n">
        <x:v>95</x:v>
      </x:c>
      <x:c r="J6" s="5" t="n">
        <x:v>1</x:v>
      </x:c>
      <x:c r="K6" s="5" t="str">
        <x:v>rate</x:v>
      </x:c>
      <x:c r="L6" s="5" t="str">
        <x:v>Correct / {Correct,Partially Correct,Incorrect}; insufficient and uncertain excluded; same-model Silver</x:v>
      </x:c>
    </x:row>
    <x:row r="7" ht="20" hidden="0" customHeight="1">
      <x:c r="A7" s="5" t="str">
        <x:v>paired_full</x:v>
      </x:c>
      <x:c r="B7" s="5" t="str">
        <x:v>development</x:v>
      </x:c>
      <x:c r="C7" s="5" t="str">
        <x:v>D2_ARCHIVED</x:v>
      </x:c>
      <x:c r="D7" s="5" t="str">
        <x:v>technical_object_partially_correct_rate</x:v>
      </x:c>
      <x:c r="E7" s="5" t="n">
        <x:v>12</x:v>
      </x:c>
      <x:c r="F7" s="5" t="n">
        <x:v>94</x:v>
      </x:c>
      <x:c r="G7" s="10" t="n">
        <x:f>IF(COUNTBLANK(E7:F7)&gt;0,"N/A",IF(F7=0,"N/A",E7/F7))</x:f>
        <x:v>0.1276595744680851</x:v>
      </x:c>
      <x:c r="H7" s="5" t="str">
        <x:v>Silver</x:v>
      </x:c>
      <x:c r="I7" s="5" t="n">
        <x:v>95</x:v>
      </x:c>
      <x:c r="J7" s="5" t="n">
        <x:v>1</x:v>
      </x:c>
      <x:c r="K7" s="5" t="str">
        <x:v>rate</x:v>
      </x:c>
      <x:c r="L7" s="5" t="str"/>
    </x:row>
    <x:row r="8" ht="20" hidden="0" customHeight="1">
      <x:c r="A8" s="5" t="str">
        <x:v>paired_full</x:v>
      </x:c>
      <x:c r="B8" s="5" t="str">
        <x:v>development</x:v>
      </x:c>
      <x:c r="C8" s="5" t="str">
        <x:v>D2_ARCHIVED</x:v>
      </x:c>
      <x:c r="D8" s="5" t="str">
        <x:v>technical_problem_correct_rate</x:v>
      </x:c>
      <x:c r="E8" s="5" t="n">
        <x:v>67</x:v>
      </x:c>
      <x:c r="F8" s="5" t="n">
        <x:v>76</x:v>
      </x:c>
      <x:c r="G8" s="10" t="n">
        <x:f>IF(COUNTBLANK(E8:F8)&gt;0,"N/A",IF(F8=0,"N/A",E8/F8))</x:f>
        <x:v>0.881578947368421</x:v>
      </x:c>
      <x:c r="H8" s="5" t="str">
        <x:v>Silver</x:v>
      </x:c>
      <x:c r="I8" s="5" t="n">
        <x:v>95</x:v>
      </x:c>
      <x:c r="J8" s="5" t="n">
        <x:v>19</x:v>
      </x:c>
      <x:c r="K8" s="5" t="str">
        <x:v>rate</x:v>
      </x:c>
      <x:c r="L8" s="5" t="str">
        <x:v>Correct / {Correct,Partially Correct,Incorrect}; insufficient and uncertain excluded; same-model Silver</x:v>
      </x:c>
    </x:row>
    <x:row r="9" ht="20" hidden="0" customHeight="1">
      <x:c r="A9" s="5" t="str">
        <x:v>paired_full</x:v>
      </x:c>
      <x:c r="B9" s="5" t="str">
        <x:v>development</x:v>
      </x:c>
      <x:c r="C9" s="5" t="str">
        <x:v>D2_ARCHIVED</x:v>
      </x:c>
      <x:c r="D9" s="5" t="str">
        <x:v>technical_problem_partially_correct_rate</x:v>
      </x:c>
      <x:c r="E9" s="5" t="n">
        <x:v>6</x:v>
      </x:c>
      <x:c r="F9" s="5" t="n">
        <x:v>76</x:v>
      </x:c>
      <x:c r="G9" s="10" t="n">
        <x:f>IF(COUNTBLANK(E9:F9)&gt;0,"N/A",IF(F9=0,"N/A",E9/F9))</x:f>
        <x:v>0.07894736842105263</x:v>
      </x:c>
      <x:c r="H9" s="5" t="str">
        <x:v>Silver</x:v>
      </x:c>
      <x:c r="I9" s="5" t="n">
        <x:v>95</x:v>
      </x:c>
      <x:c r="J9" s="5" t="n">
        <x:v>19</x:v>
      </x:c>
      <x:c r="K9" s="5" t="str">
        <x:v>rate</x:v>
      </x:c>
      <x:c r="L9" s="5" t="str"/>
    </x:row>
    <x:row r="10" ht="20" hidden="0" customHeight="1">
      <x:c r="A10" s="5" t="str">
        <x:v>paired_full</x:v>
      </x:c>
      <x:c r="B10" s="5" t="str">
        <x:v>development</x:v>
      </x:c>
      <x:c r="C10" s="5" t="str">
        <x:v>D2_ARCHIVED</x:v>
      </x:c>
      <x:c r="D10" s="5" t="str">
        <x:v>technical_mechanism_correct_rate</x:v>
      </x:c>
      <x:c r="E10" s="5" t="n">
        <x:v>61</x:v>
      </x:c>
      <x:c r="F10" s="5" t="n">
        <x:v>86</x:v>
      </x:c>
      <x:c r="G10" s="10" t="n">
        <x:f>IF(COUNTBLANK(E10:F10)&gt;0,"N/A",IF(F10=0,"N/A",E10/F10))</x:f>
        <x:v>0.7093023255813954</x:v>
      </x:c>
      <x:c r="H10" s="5" t="str">
        <x:v>Silver</x:v>
      </x:c>
      <x:c r="I10" s="5" t="n">
        <x:v>95</x:v>
      </x:c>
      <x:c r="J10" s="5" t="n">
        <x:v>9</x:v>
      </x:c>
      <x:c r="K10" s="5" t="str">
        <x:v>rate</x:v>
      </x:c>
      <x:c r="L10" s="5" t="str">
        <x:v>Correct / {Correct,Partially Correct,Incorrect}; insufficient and uncertain excluded; same-model Silver</x:v>
      </x:c>
    </x:row>
    <x:row r="11" ht="20" hidden="0" customHeight="1">
      <x:c r="A11" s="5" t="str">
        <x:v>paired_full</x:v>
      </x:c>
      <x:c r="B11" s="5" t="str">
        <x:v>development</x:v>
      </x:c>
      <x:c r="C11" s="5" t="str">
        <x:v>D2_ARCHIVED</x:v>
      </x:c>
      <x:c r="D11" s="5" t="str">
        <x:v>technical_mechanism_partially_correct_rate</x:v>
      </x:c>
      <x:c r="E11" s="5" t="n">
        <x:v>25</x:v>
      </x:c>
      <x:c r="F11" s="5" t="n">
        <x:v>86</x:v>
      </x:c>
      <x:c r="G11" s="10" t="n">
        <x:f>IF(COUNTBLANK(E11:F11)&gt;0,"N/A",IF(F11=0,"N/A",E11/F11))</x:f>
        <x:v>0.29069767441860467</x:v>
      </x:c>
      <x:c r="H11" s="5" t="str">
        <x:v>Silver</x:v>
      </x:c>
      <x:c r="I11" s="5" t="n">
        <x:v>95</x:v>
      </x:c>
      <x:c r="J11" s="5" t="n">
        <x:v>9</x:v>
      </x:c>
      <x:c r="K11" s="5" t="str">
        <x:v>rate</x:v>
      </x:c>
      <x:c r="L11" s="5" t="str"/>
    </x:row>
    <x:row r="12" ht="20" hidden="0" customHeight="1">
      <x:c r="A12" s="5" t="str">
        <x:v>paired_full</x:v>
      </x:c>
      <x:c r="B12" s="5" t="str">
        <x:v>development</x:v>
      </x:c>
      <x:c r="C12" s="5" t="str">
        <x:v>D2_ARCHIVED</x:v>
      </x:c>
      <x:c r="D12" s="5" t="str">
        <x:v>materials_correct_rate</x:v>
      </x:c>
      <x:c r="E12" s="5" t="n">
        <x:v>19</x:v>
      </x:c>
      <x:c r="F12" s="5" t="n">
        <x:v>54</x:v>
      </x:c>
      <x:c r="G12" s="10" t="n">
        <x:f>IF(COUNTBLANK(E12:F12)&gt;0,"N/A",IF(F12=0,"N/A",E12/F12))</x:f>
        <x:v>0.35185185185185186</x:v>
      </x:c>
      <x:c r="H12" s="5" t="str">
        <x:v>Silver</x:v>
      </x:c>
      <x:c r="I12" s="5" t="n">
        <x:v>95</x:v>
      </x:c>
      <x:c r="J12" s="5" t="n">
        <x:v>41</x:v>
      </x:c>
      <x:c r="K12" s="5" t="str">
        <x:v>rate</x:v>
      </x:c>
      <x:c r="L12" s="5" t="str">
        <x:v>Correct / {Correct,Partially Correct,Incorrect}; insufficient and uncertain excluded; same-model Silver</x:v>
      </x:c>
    </x:row>
    <x:row r="13" ht="20" hidden="0" customHeight="1">
      <x:c r="A13" s="5" t="str">
        <x:v>paired_full</x:v>
      </x:c>
      <x:c r="B13" s="5" t="str">
        <x:v>development</x:v>
      </x:c>
      <x:c r="C13" s="5" t="str">
        <x:v>D2_ARCHIVED</x:v>
      </x:c>
      <x:c r="D13" s="5" t="str">
        <x:v>materials_partially_correct_rate</x:v>
      </x:c>
      <x:c r="E13" s="5" t="n">
        <x:v>34</x:v>
      </x:c>
      <x:c r="F13" s="5" t="n">
        <x:v>54</x:v>
      </x:c>
      <x:c r="G13" s="10" t="n">
        <x:f>IF(COUNTBLANK(E13:F13)&gt;0,"N/A",IF(F13=0,"N/A",E13/F13))</x:f>
        <x:v>0.6296296296296297</x:v>
      </x:c>
      <x:c r="H13" s="5" t="str">
        <x:v>Silver</x:v>
      </x:c>
      <x:c r="I13" s="5" t="n">
        <x:v>95</x:v>
      </x:c>
      <x:c r="J13" s="5" t="n">
        <x:v>41</x:v>
      </x:c>
      <x:c r="K13" s="5" t="str">
        <x:v>rate</x:v>
      </x:c>
      <x:c r="L13" s="5" t="str"/>
    </x:row>
    <x:row r="14" ht="20" hidden="0" customHeight="1">
      <x:c r="A14" s="5" t="str">
        <x:v>paired_full</x:v>
      </x:c>
      <x:c r="B14" s="5" t="str">
        <x:v>development</x:v>
      </x:c>
      <x:c r="C14" s="5" t="str">
        <x:v>D2_ARCHIVED</x:v>
      </x:c>
      <x:c r="D14" s="5" t="str">
        <x:v>process_method_correct_rate</x:v>
      </x:c>
      <x:c r="E14" s="5" t="n">
        <x:v>34</x:v>
      </x:c>
      <x:c r="F14" s="5" t="n">
        <x:v>53</x:v>
      </x:c>
      <x:c r="G14" s="10" t="n">
        <x:f>IF(COUNTBLANK(E14:F14)&gt;0,"N/A",IF(F14=0,"N/A",E14/F14))</x:f>
        <x:v>0.6415094339622641</x:v>
      </x:c>
      <x:c r="H14" s="5" t="str">
        <x:v>Silver</x:v>
      </x:c>
      <x:c r="I14" s="5" t="n">
        <x:v>95</x:v>
      </x:c>
      <x:c r="J14" s="5" t="n">
        <x:v>42</x:v>
      </x:c>
      <x:c r="K14" s="5" t="str">
        <x:v>rate</x:v>
      </x:c>
      <x:c r="L14" s="5" t="str">
        <x:v>Correct / {Correct,Partially Correct,Incorrect}; insufficient and uncertain excluded; same-model Silver</x:v>
      </x:c>
    </x:row>
    <x:row r="15" ht="20" hidden="0" customHeight="1">
      <x:c r="A15" s="5" t="str">
        <x:v>paired_full</x:v>
      </x:c>
      <x:c r="B15" s="5" t="str">
        <x:v>development</x:v>
      </x:c>
      <x:c r="C15" s="5" t="str">
        <x:v>D2_ARCHIVED</x:v>
      </x:c>
      <x:c r="D15" s="5" t="str">
        <x:v>process_method_partially_correct_rate</x:v>
      </x:c>
      <x:c r="E15" s="5" t="n">
        <x:v>18</x:v>
      </x:c>
      <x:c r="F15" s="5" t="n">
        <x:v>53</x:v>
      </x:c>
      <x:c r="G15" s="10" t="n">
        <x:f>IF(COUNTBLANK(E15:F15)&gt;0,"N/A",IF(F15=0,"N/A",E15/F15))</x:f>
        <x:v>0.33962264150943394</x:v>
      </x:c>
      <x:c r="H15" s="5" t="str">
        <x:v>Silver</x:v>
      </x:c>
      <x:c r="I15" s="5" t="n">
        <x:v>95</x:v>
      </x:c>
      <x:c r="J15" s="5" t="n">
        <x:v>42</x:v>
      </x:c>
      <x:c r="K15" s="5" t="str">
        <x:v>rate</x:v>
      </x:c>
      <x:c r="L15" s="5" t="str"/>
    </x:row>
    <x:row r="16" ht="20" hidden="0" customHeight="1">
      <x:c r="A16" s="5" t="str">
        <x:v>paired_full</x:v>
      </x:c>
      <x:c r="B16" s="5" t="str">
        <x:v>development</x:v>
      </x:c>
      <x:c r="C16" s="5" t="str">
        <x:v>D2_ARCHIVED</x:v>
      </x:c>
      <x:c r="D16" s="5" t="str">
        <x:v>process_order_correct_rate</x:v>
      </x:c>
      <x:c r="E16" s="5" t="n">
        <x:v>12</x:v>
      </x:c>
      <x:c r="F16" s="5" t="n">
        <x:v>18</x:v>
      </x:c>
      <x:c r="G16" s="10" t="n">
        <x:f>IF(COUNTBLANK(E16:F16)&gt;0,"N/A",IF(F16=0,"N/A",E16/F16))</x:f>
        <x:v>0.6666666666666666</x:v>
      </x:c>
      <x:c r="H16" s="5" t="str">
        <x:v>Silver</x:v>
      </x:c>
      <x:c r="I16" s="5" t="n">
        <x:v>95</x:v>
      </x:c>
      <x:c r="J16" s="5" t="n">
        <x:v>77</x:v>
      </x:c>
      <x:c r="K16" s="5" t="str">
        <x:v>rate</x:v>
      </x:c>
      <x:c r="L16" s="5" t="str">
        <x:v>Correct / {Correct,Partially Correct,Incorrect}; insufficient and uncertain excluded; same-model Silver</x:v>
      </x:c>
    </x:row>
    <x:row r="17" ht="20" hidden="0" customHeight="1">
      <x:c r="A17" s="5" t="str">
        <x:v>paired_full</x:v>
      </x:c>
      <x:c r="B17" s="5" t="str">
        <x:v>development</x:v>
      </x:c>
      <x:c r="C17" s="5" t="str">
        <x:v>D2_ARCHIVED</x:v>
      </x:c>
      <x:c r="D17" s="5" t="str">
        <x:v>process_order_partially_correct_rate</x:v>
      </x:c>
      <x:c r="E17" s="5" t="n">
        <x:v>6</x:v>
      </x:c>
      <x:c r="F17" s="5" t="n">
        <x:v>18</x:v>
      </x:c>
      <x:c r="G17" s="10" t="n">
        <x:f>IF(COUNTBLANK(E17:F17)&gt;0,"N/A",IF(F17=0,"N/A",E17/F17))</x:f>
        <x:v>0.3333333333333333</x:v>
      </x:c>
      <x:c r="H17" s="5" t="str">
        <x:v>Silver</x:v>
      </x:c>
      <x:c r="I17" s="5" t="n">
        <x:v>95</x:v>
      </x:c>
      <x:c r="J17" s="5" t="n">
        <x:v>77</x:v>
      </x:c>
      <x:c r="K17" s="5" t="str">
        <x:v>rate</x:v>
      </x:c>
      <x:c r="L17" s="5" t="str"/>
    </x:row>
    <x:row r="18" ht="20" hidden="0" customHeight="1">
      <x:c r="A18" s="5" t="str">
        <x:v>paired_full</x:v>
      </x:c>
      <x:c r="B18" s="5" t="str">
        <x:v>development</x:v>
      </x:c>
      <x:c r="C18" s="5" t="str">
        <x:v>D2_ARCHIVED</x:v>
      </x:c>
      <x:c r="D18" s="5" t="str">
        <x:v>parameters_correct_rate</x:v>
      </x:c>
      <x:c r="E18" s="5" t="n">
        <x:v>18</x:v>
      </x:c>
      <x:c r="F18" s="5" t="n">
        <x:v>30</x:v>
      </x:c>
      <x:c r="G18" s="10" t="n">
        <x:f>IF(COUNTBLANK(E18:F18)&gt;0,"N/A",IF(F18=0,"N/A",E18/F18))</x:f>
        <x:v>0.6</x:v>
      </x:c>
      <x:c r="H18" s="5" t="str">
        <x:v>Silver</x:v>
      </x:c>
      <x:c r="I18" s="5" t="n">
        <x:v>95</x:v>
      </x:c>
      <x:c r="J18" s="5" t="n">
        <x:v>65</x:v>
      </x:c>
      <x:c r="K18" s="5" t="str">
        <x:v>rate</x:v>
      </x:c>
      <x:c r="L18" s="5" t="str">
        <x:v>Correct / {Correct,Partially Correct,Incorrect}; insufficient and uncertain excluded; same-model Silver</x:v>
      </x:c>
    </x:row>
    <x:row r="19" ht="20" hidden="0" customHeight="1">
      <x:c r="A19" s="5" t="str">
        <x:v>paired_full</x:v>
      </x:c>
      <x:c r="B19" s="5" t="str">
        <x:v>development</x:v>
      </x:c>
      <x:c r="C19" s="5" t="str">
        <x:v>D2_ARCHIVED</x:v>
      </x:c>
      <x:c r="D19" s="5" t="str">
        <x:v>parameters_partially_correct_rate</x:v>
      </x:c>
      <x:c r="E19" s="5" t="n">
        <x:v>8</x:v>
      </x:c>
      <x:c r="F19" s="5" t="n">
        <x:v>30</x:v>
      </x:c>
      <x:c r="G19" s="10" t="n">
        <x:f>IF(COUNTBLANK(E19:F19)&gt;0,"N/A",IF(F19=0,"N/A",E19/F19))</x:f>
        <x:v>0.26666666666666666</x:v>
      </x:c>
      <x:c r="H19" s="5" t="str">
        <x:v>Silver</x:v>
      </x:c>
      <x:c r="I19" s="5" t="n">
        <x:v>95</x:v>
      </x:c>
      <x:c r="J19" s="5" t="n">
        <x:v>65</x:v>
      </x:c>
      <x:c r="K19" s="5" t="str">
        <x:v>rate</x:v>
      </x:c>
      <x:c r="L19" s="5" t="str"/>
    </x:row>
    <x:row r="20" ht="20" hidden="0" customHeight="1">
      <x:c r="A20" s="5" t="str">
        <x:v>paired_full</x:v>
      </x:c>
      <x:c r="B20" s="5" t="str">
        <x:v>development</x:v>
      </x:c>
      <x:c r="C20" s="5" t="str">
        <x:v>D2_ARCHIVED</x:v>
      </x:c>
      <x:c r="D20" s="5" t="str">
        <x:v>effects_correct_rate</x:v>
      </x:c>
      <x:c r="E20" s="5" t="n">
        <x:v>70</x:v>
      </x:c>
      <x:c r="F20" s="5" t="n">
        <x:v>75</x:v>
      </x:c>
      <x:c r="G20" s="10" t="n">
        <x:f>IF(COUNTBLANK(E20:F20)&gt;0,"N/A",IF(F20=0,"N/A",E20/F20))</x:f>
        <x:v>0.9333333333333333</x:v>
      </x:c>
      <x:c r="H20" s="5" t="str">
        <x:v>Silver</x:v>
      </x:c>
      <x:c r="I20" s="5" t="n">
        <x:v>95</x:v>
      </x:c>
      <x:c r="J20" s="5" t="n">
        <x:v>20</x:v>
      </x:c>
      <x:c r="K20" s="5" t="str">
        <x:v>rate</x:v>
      </x:c>
      <x:c r="L20" s="5" t="str">
        <x:v>Correct / {Correct,Partially Correct,Incorrect}; insufficient and uncertain excluded; same-model Silver</x:v>
      </x:c>
    </x:row>
    <x:row r="21" ht="20" hidden="0" customHeight="1">
      <x:c r="A21" s="5" t="str">
        <x:v>paired_full</x:v>
      </x:c>
      <x:c r="B21" s="5" t="str">
        <x:v>development</x:v>
      </x:c>
      <x:c r="C21" s="5" t="str">
        <x:v>D2_ARCHIVED</x:v>
      </x:c>
      <x:c r="D21" s="5" t="str">
        <x:v>effects_partially_correct_rate</x:v>
      </x:c>
      <x:c r="E21" s="5" t="n">
        <x:v>3</x:v>
      </x:c>
      <x:c r="F21" s="5" t="n">
        <x:v>75</x:v>
      </x:c>
      <x:c r="G21" s="10" t="n">
        <x:f>IF(COUNTBLANK(E21:F21)&gt;0,"N/A",IF(F21=0,"N/A",E21/F21))</x:f>
        <x:v>0.04</x:v>
      </x:c>
      <x:c r="H21" s="5" t="str">
        <x:v>Silver</x:v>
      </x:c>
      <x:c r="I21" s="5" t="n">
        <x:v>95</x:v>
      </x:c>
      <x:c r="J21" s="5" t="n">
        <x:v>20</x:v>
      </x:c>
      <x:c r="K21" s="5" t="str">
        <x:v>rate</x:v>
      </x:c>
      <x:c r="L21" s="5" t="str"/>
    </x:row>
    <x:row r="22" ht="20" hidden="0" customHeight="1">
      <x:c r="A22" s="5" t="str">
        <x:v>paired_full</x:v>
      </x:c>
      <x:c r="B22" s="5" t="str">
        <x:v>development</x:v>
      </x:c>
      <x:c r="C22" s="5" t="str">
        <x:v>D2_ARCHIVED</x:v>
      </x:c>
      <x:c r="D22" s="5" t="str">
        <x:v>multiple_contributions_correct_rate</x:v>
      </x:c>
      <x:c r="E22" s="5" t="n">
        <x:v>48</x:v>
      </x:c>
      <x:c r="F22" s="5" t="n">
        <x:v>89</x:v>
      </x:c>
      <x:c r="G22" s="10" t="n">
        <x:f>IF(COUNTBLANK(E22:F22)&gt;0,"N/A",IF(F22=0,"N/A",E22/F22))</x:f>
        <x:v>0.5393258426966292</x:v>
      </x:c>
      <x:c r="H22" s="5" t="str">
        <x:v>Silver</x:v>
      </x:c>
      <x:c r="I22" s="5" t="n">
        <x:v>95</x:v>
      </x:c>
      <x:c r="J22" s="5" t="n">
        <x:v>6</x:v>
      </x:c>
      <x:c r="K22" s="5" t="str">
        <x:v>rate</x:v>
      </x:c>
      <x:c r="L22" s="5" t="str">
        <x:v>Correct / {Correct,Partially Correct,Incorrect}; insufficient and uncertain excluded; same-model Silver</x:v>
      </x:c>
    </x:row>
    <x:row r="23" ht="20" hidden="0" customHeight="1">
      <x:c r="A23" s="5" t="str">
        <x:v>paired_full</x:v>
      </x:c>
      <x:c r="B23" s="5" t="str">
        <x:v>development</x:v>
      </x:c>
      <x:c r="C23" s="5" t="str">
        <x:v>D2_ARCHIVED</x:v>
      </x:c>
      <x:c r="D23" s="5" t="str">
        <x:v>multiple_contributions_partially_correct_rate</x:v>
      </x:c>
      <x:c r="E23" s="5" t="n">
        <x:v>35</x:v>
      </x:c>
      <x:c r="F23" s="5" t="n">
        <x:v>89</x:v>
      </x:c>
      <x:c r="G23" s="10" t="n">
        <x:f>IF(COUNTBLANK(E23:F23)&gt;0,"N/A",IF(F23=0,"N/A",E23/F23))</x:f>
        <x:v>0.39325842696629215</x:v>
      </x:c>
      <x:c r="H23" s="5" t="str">
        <x:v>Silver</x:v>
      </x:c>
      <x:c r="I23" s="5" t="n">
        <x:v>95</x:v>
      </x:c>
      <x:c r="J23" s="5" t="n">
        <x:v>6</x:v>
      </x:c>
      <x:c r="K23" s="5" t="str">
        <x:v>rate</x:v>
      </x:c>
      <x:c r="L23" s="5" t="str"/>
    </x:row>
    <x:row r="24" ht="20" hidden="0" customHeight="1">
      <x:c r="A24" s="5" t="str">
        <x:v>paired_full</x:v>
      </x:c>
      <x:c r="B24" s="5" t="str">
        <x:v>development</x:v>
      </x:c>
      <x:c r="C24" s="5" t="str">
        <x:v>D2_ARCHIVED</x:v>
      </x:c>
      <x:c r="D24" s="5" t="str">
        <x:v>hallucination_correct_rate</x:v>
      </x:c>
      <x:c r="E24" s="5" t="n">
        <x:v>69</x:v>
      </x:c>
      <x:c r="F24" s="5" t="n">
        <x:v>95</x:v>
      </x:c>
      <x:c r="G24" s="10" t="n">
        <x:f>IF(COUNTBLANK(E24:F24)&gt;0,"N/A",IF(F24=0,"N/A",E24/F24))</x:f>
        <x:v>0.7263157894736842</x:v>
      </x:c>
      <x:c r="H24" s="5" t="str">
        <x:v>Silver</x:v>
      </x:c>
      <x:c r="I24" s="5" t="n">
        <x:v>95</x:v>
      </x:c>
      <x:c r="J24" s="5" t="n">
        <x:v>0</x:v>
      </x:c>
      <x:c r="K24" s="5" t="str">
        <x:v>rate</x:v>
      </x:c>
      <x:c r="L24" s="5" t="str">
        <x:v>Correct / {Correct,Partially Correct,Incorrect}; insufficient and uncertain excluded; same-model Silver</x:v>
      </x:c>
    </x:row>
    <x:row r="25" ht="20" hidden="0" customHeight="1">
      <x:c r="A25" s="5" t="str">
        <x:v>paired_full</x:v>
      </x:c>
      <x:c r="B25" s="5" t="str">
        <x:v>development</x:v>
      </x:c>
      <x:c r="C25" s="5" t="str">
        <x:v>D2_ARCHIVED</x:v>
      </x:c>
      <x:c r="D25" s="5" t="str">
        <x:v>hallucination_partially_correct_rate</x:v>
      </x:c>
      <x:c r="E25" s="5" t="n">
        <x:v>22</x:v>
      </x:c>
      <x:c r="F25" s="5" t="n">
        <x:v>95</x:v>
      </x:c>
      <x:c r="G25" s="10" t="n">
        <x:f>IF(COUNTBLANK(E25:F25)&gt;0,"N/A",IF(F25=0,"N/A",E25/F25))</x:f>
        <x:v>0.23157894736842105</x:v>
      </x:c>
      <x:c r="H25" s="5" t="str">
        <x:v>Silver</x:v>
      </x:c>
      <x:c r="I25" s="5" t="n">
        <x:v>95</x:v>
      </x:c>
      <x:c r="J25" s="5" t="n">
        <x:v>0</x:v>
      </x:c>
      <x:c r="K25" s="5" t="str">
        <x:v>rate</x:v>
      </x:c>
      <x:c r="L25" s="5" t="str"/>
    </x:row>
    <x:row r="26" ht="31" hidden="0" customHeight="1">
      <x:c r="A26" s="5" t="str">
        <x:v>paired_full</x:v>
      </x:c>
      <x:c r="B26" s="5" t="str">
        <x:v>development</x:v>
      </x:c>
      <x:c r="C26" s="5" t="str">
        <x:v>D2_ARCHIVED</x:v>
      </x:c>
      <x:c r="D26" s="5" t="str">
        <x:v>contribution_coverage</x:v>
      </x:c>
      <x:c r="E26" s="5" t="n">
        <x:v>87</x:v>
      </x:c>
      <x:c r="F26" s="5" t="n">
        <x:v>100</x:v>
      </x:c>
      <x:c r="G26" s="10" t="n">
        <x:f>IF(COUNTBLANK(E26:F26)&gt;0,"N/A",IF(F26=0,"N/A",E26/F26))</x:f>
        <x:v>0.87</x:v>
      </x:c>
      <x:c r="H26" s="5" t="str">
        <x:v>Silver</x:v>
      </x:c>
      <x:c r="I26" s="5" t="n">
        <x:v>95</x:v>
      </x:c>
      <x:c r="J26" s="5" t="n">
        <x:v>9</x:v>
      </x:c>
      <x:c r="K26" s="5" t="str">
        <x:v>rate</x:v>
      </x:c>
      <x:c r="L26" s="5" t="str">
        <x:v>Source-reference denominators required consistent across matched configs; disagreements/zero applicability excluded</x:v>
      </x:c>
    </x:row>
    <x:row r="27" ht="31" hidden="0" customHeight="1">
      <x:c r="A27" s="5" t="str">
        <x:v>paired_full</x:v>
      </x:c>
      <x:c r="B27" s="5" t="str">
        <x:v>development</x:v>
      </x:c>
      <x:c r="C27" s="5" t="str">
        <x:v>D2_ARCHIVED</x:v>
      </x:c>
      <x:c r="D27" s="5" t="str">
        <x:v>material_retention</x:v>
      </x:c>
      <x:c r="E27" s="5" t="n">
        <x:v>113</x:v>
      </x:c>
      <x:c r="F27" s="5" t="n">
        <x:v>180</x:v>
      </x:c>
      <x:c r="G27" s="10" t="n">
        <x:f>IF(COUNTBLANK(E27:F27)&gt;0,"N/A",IF(F27=0,"N/A",E27/F27))</x:f>
        <x:v>0.6277777777777778</x:v>
      </x:c>
      <x:c r="H27" s="5" t="str">
        <x:v>Silver</x:v>
      </x:c>
      <x:c r="I27" s="5" t="n">
        <x:v>95</x:v>
      </x:c>
      <x:c r="J27" s="5" t="n">
        <x:v>28</x:v>
      </x:c>
      <x:c r="K27" s="5" t="str">
        <x:v>rate</x:v>
      </x:c>
      <x:c r="L27" s="5" t="str">
        <x:v>Source-reference denominators required consistent across matched configs; disagreements/zero applicability excluded</x:v>
      </x:c>
    </x:row>
    <x:row r="28" ht="31" hidden="0" customHeight="1">
      <x:c r="A28" s="5" t="str">
        <x:v>paired_full</x:v>
      </x:c>
      <x:c r="B28" s="5" t="str">
        <x:v>development</x:v>
      </x:c>
      <x:c r="C28" s="5" t="str">
        <x:v>D2_ARCHIVED</x:v>
      </x:c>
      <x:c r="D28" s="5" t="str">
        <x:v>process_retention</x:v>
      </x:c>
      <x:c r="E28" s="5" t="n">
        <x:v>101</x:v>
      </x:c>
      <x:c r="F28" s="5" t="n">
        <x:v>151</x:v>
      </x:c>
      <x:c r="G28" s="10" t="n">
        <x:f>IF(COUNTBLANK(E28:F28)&gt;0,"N/A",IF(F28=0,"N/A",E28/F28))</x:f>
        <x:v>0.6688741721854304</x:v>
      </x:c>
      <x:c r="H28" s="5" t="str">
        <x:v>Silver</x:v>
      </x:c>
      <x:c r="I28" s="5" t="n">
        <x:v>95</x:v>
      </x:c>
      <x:c r="J28" s="5" t="n">
        <x:v>36</x:v>
      </x:c>
      <x:c r="K28" s="5" t="str">
        <x:v>rate</x:v>
      </x:c>
      <x:c r="L28" s="5" t="str">
        <x:v>Source-reference denominators required consistent across matched configs; disagreements/zero applicability excluded</x:v>
      </x:c>
    </x:row>
    <x:row r="29" ht="20" hidden="0" customHeight="1">
      <x:c r="A29" s="5" t="str">
        <x:v>paired_full</x:v>
      </x:c>
      <x:c r="B29" s="5" t="str">
        <x:v>development</x:v>
      </x:c>
      <x:c r="C29" s="5" t="str">
        <x:v>D2_ARCHIVED</x:v>
      </x:c>
      <x:c r="D29" s="5" t="str">
        <x:v>multi_contribution_omission_rate</x:v>
      </x:c>
      <x:c r="E29" s="5" t="n">
        <x:v>9</x:v>
      </x:c>
      <x:c r="F29" s="5" t="n">
        <x:v>10</x:v>
      </x:c>
      <x:c r="G29" s="10" t="n">
        <x:f>IF(COUNTBLANK(E29:F29)&gt;0,"N/A",IF(F29=0,"N/A",E29/F29))</x:f>
        <x:v>0.9</x:v>
      </x:c>
      <x:c r="H29" s="5" t="str">
        <x:v>Silver</x:v>
      </x:c>
      <x:c r="I29" s="5" t="n">
        <x:v>95</x:v>
      </x:c>
      <x:c r="J29" s="5" t="n">
        <x:v>85</x:v>
      </x:c>
      <x:c r="K29" s="5" t="str">
        <x:v>rate</x:v>
      </x:c>
      <x:c r="L29" s="5" t="str"/>
    </x:row>
    <x:row r="30" ht="20" hidden="0" customHeight="1">
      <x:c r="A30" s="5" t="str">
        <x:v>paired_full</x:v>
      </x:c>
      <x:c r="B30" s="5" t="str">
        <x:v>development</x:v>
      </x:c>
      <x:c r="C30" s="5" t="str">
        <x:v>D2_ARCHIVED</x:v>
      </x:c>
      <x:c r="D30" s="5" t="str">
        <x:v>full_conclusion_support_rate</x:v>
      </x:c>
      <x:c r="E30" s="5" t="n">
        <x:v>49</x:v>
      </x:c>
      <x:c r="F30" s="5" t="n">
        <x:v>88</x:v>
      </x:c>
      <x:c r="G30" s="10" t="n">
        <x:f>IF(COUNTBLANK(E30:F30)&gt;0,"N/A",IF(F30=0,"N/A",E30/F30))</x:f>
        <x:v>0.5568181818181818</x:v>
      </x:c>
      <x:c r="H30" s="5" t="str">
        <x:v>Silver</x:v>
      </x:c>
      <x:c r="I30" s="5" t="n">
        <x:v>95</x:v>
      </x:c>
      <x:c r="J30" s="5" t="n">
        <x:v>7</x:v>
      </x:c>
      <x:c r="K30" s="5" t="str">
        <x:v>rate</x:v>
      </x:c>
      <x:c r="L30" s="5" t="str"/>
    </x:row>
    <x:row r="31" ht="20" hidden="0" customHeight="1">
      <x:c r="A31" s="5" t="str">
        <x:v>paired_full</x:v>
      </x:c>
      <x:c r="B31" s="5" t="str">
        <x:v>development</x:v>
      </x:c>
      <x:c r="C31" s="5" t="str">
        <x:v>D2_ARCHIVED</x:v>
      </x:c>
      <x:c r="D31" s="5" t="str">
        <x:v>mean_contributions_per_family</x:v>
      </x:c>
      <x:c r="E31" s="5" t="n">
        <x:v>87</x:v>
      </x:c>
      <x:c r="F31" s="5" t="n">
        <x:v>95</x:v>
      </x:c>
      <x:c r="G31" s="11" t="n">
        <x:f>IF(COUNTBLANK(E31:F31)&gt;0,"N/A",IF(F31=0,"N/A",E31/F31))</x:f>
        <x:v>0.9157894736842105</x:v>
      </x:c>
      <x:c r="H31" s="5" t="str">
        <x:v>Silver</x:v>
      </x:c>
      <x:c r="I31" s="5" t="n">
        <x:v>95</x:v>
      </x:c>
      <x:c r="J31" s="5" t="n">
        <x:v>0</x:v>
      </x:c>
      <x:c r="K31" s="5" t="str">
        <x:v>contributions/family</x:v>
      </x:c>
      <x:c r="L31" s="5" t="str"/>
    </x:row>
    <x:row r="32" ht="20" hidden="0" customHeight="1">
      <x:c r="A32" s="5" t="str">
        <x:v>paired_full</x:v>
      </x:c>
      <x:c r="B32" s="5" t="str">
        <x:v>development</x:v>
      </x:c>
      <x:c r="C32" s="5" t="str">
        <x:v>D2_ARCHIVED</x:v>
      </x:c>
      <x:c r="D32" s="5" t="str">
        <x:v>oversplit_contribution_rate</x:v>
      </x:c>
      <x:c r="E32" s="5" t="n">
        <x:v>1</x:v>
      </x:c>
      <x:c r="F32" s="5" t="n">
        <x:v>87</x:v>
      </x:c>
      <x:c r="G32" s="10" t="n">
        <x:f>IF(COUNTBLANK(E32:F32)&gt;0,"N/A",IF(F32=0,"N/A",E32/F32))</x:f>
        <x:v>0.011494252873563218</x:v>
      </x:c>
      <x:c r="H32" s="5" t="str">
        <x:v>Silver</x:v>
      </x:c>
      <x:c r="I32" s="5" t="n">
        <x:v>95</x:v>
      </x:c>
      <x:c r="J32" s="5" t="n">
        <x:v>0</x:v>
      </x:c>
      <x:c r="K32" s="5" t="str">
        <x:v>rate</x:v>
      </x:c>
      <x:c r="L32" s="5" t="str">
        <x:v>Auditor oversplit units / actual explicit output units; not a human error rate</x:v>
      </x:c>
    </x:row>
    <x:row r="33" ht="20" hidden="0" customHeight="1">
      <x:c r="A33" s="5" t="str">
        <x:v>paired_full</x:v>
      </x:c>
      <x:c r="B33" s="5" t="str">
        <x:v>development</x:v>
      </x:c>
      <x:c r="C33" s="5" t="str">
        <x:v>D2_ARCHIVED</x:v>
      </x:c>
      <x:c r="D33" s="5" t="str">
        <x:v>hallucinated_contribution_rate</x:v>
      </x:c>
      <x:c r="E33" s="5" t="n">
        <x:v>29</x:v>
      </x:c>
      <x:c r="F33" s="5" t="n">
        <x:v>87</x:v>
      </x:c>
      <x:c r="G33" s="10" t="n">
        <x:f>IF(COUNTBLANK(E33:F33)&gt;0,"N/A",IF(F33=0,"N/A",E33/F33))</x:f>
        <x:v>0.3333333333333333</x:v>
      </x:c>
      <x:c r="H33" s="5" t="str">
        <x:v>Silver</x:v>
      </x:c>
      <x:c r="I33" s="5" t="n">
        <x:v>95</x:v>
      </x:c>
      <x:c r="J33" s="5" t="n">
        <x:v>0</x:v>
      </x:c>
      <x:c r="K33" s="5" t="str">
        <x:v>rate</x:v>
      </x:c>
      <x:c r="L33" s="5" t="str"/>
    </x:row>
    <x:row r="34" ht="20" hidden="0" customHeight="1">
      <x:c r="A34" s="5" t="str">
        <x:v>paired_full</x:v>
      </x:c>
      <x:c r="B34" s="5" t="str">
        <x:v>development</x:v>
      </x:c>
      <x:c r="C34" s="5" t="str">
        <x:v>D2_ARCHIVED</x:v>
      </x:c>
      <x:c r="D34" s="5" t="str">
        <x:v>technical_mechanism_gold_accuracy</x:v>
      </x:c>
      <x:c r="E34" s="5"/>
      <x:c r="F34" s="5"/>
      <x:c r="G34" s="10" t="str">
        <x:f>IF(COUNTBLANK(E34:F34)&gt;0,"N/A",IF(F34=0,"N/A",E34/F34))</x:f>
        <x:v>N/A</x:v>
      </x:c>
      <x:c r="H34" s="5" t="str">
        <x:v>Gold</x:v>
      </x:c>
      <x:c r="I34" s="5" t="n">
        <x:v>0</x:v>
      </x:c>
      <x:c r="J34" s="5" t="n">
        <x:v>0</x:v>
      </x:c>
      <x:c r="K34" s="5" t="str">
        <x:v>rate</x:v>
      </x:c>
      <x:c r="L34" s="5" t="str">
        <x:v>N/A: zero independent human Gold labels; AI must not be promoted to human truth</x:v>
      </x:c>
    </x:row>
    <x:row r="35" ht="20" hidden="0" customHeight="1">
      <x:c r="A35" s="5" t="str">
        <x:v>paired_full</x:v>
      </x:c>
      <x:c r="B35" s="5" t="str">
        <x:v>development</x:v>
      </x:c>
      <x:c r="C35" s="5" t="str">
        <x:v>D2_ARCHIVED</x:v>
      </x:c>
      <x:c r="D35" s="5" t="str">
        <x:v>materials_gold_accuracy</x:v>
      </x:c>
      <x:c r="E35" s="5"/>
      <x:c r="F35" s="5"/>
      <x:c r="G35" s="10" t="str">
        <x:f>IF(COUNTBLANK(E35:F35)&gt;0,"N/A",IF(F35=0,"N/A",E35/F35))</x:f>
        <x:v>N/A</x:v>
      </x:c>
      <x:c r="H35" s="5" t="str">
        <x:v>Gold</x:v>
      </x:c>
      <x:c r="I35" s="5" t="n">
        <x:v>0</x:v>
      </x:c>
      <x:c r="J35" s="5" t="n">
        <x:v>0</x:v>
      </x:c>
      <x:c r="K35" s="5" t="str">
        <x:v>rate</x:v>
      </x:c>
      <x:c r="L35" s="5" t="str">
        <x:v>N/A: zero independent human Gold labels; AI must not be promoted to human truth</x:v>
      </x:c>
    </x:row>
    <x:row r="36" ht="20" hidden="0" customHeight="1">
      <x:c r="A36" s="5" t="str">
        <x:v>paired_full</x:v>
      </x:c>
      <x:c r="B36" s="5" t="str">
        <x:v>development</x:v>
      </x:c>
      <x:c r="C36" s="5" t="str">
        <x:v>D2_ARCHIVED</x:v>
      </x:c>
      <x:c r="D36" s="5" t="str">
        <x:v>process_method_gold_accuracy</x:v>
      </x:c>
      <x:c r="E36" s="5"/>
      <x:c r="F36" s="5"/>
      <x:c r="G36" s="10" t="str">
        <x:f>IF(COUNTBLANK(E36:F36)&gt;0,"N/A",IF(F36=0,"N/A",E36/F36))</x:f>
        <x:v>N/A</x:v>
      </x:c>
      <x:c r="H36" s="5" t="str">
        <x:v>Gold</x:v>
      </x:c>
      <x:c r="I36" s="5" t="n">
        <x:v>0</x:v>
      </x:c>
      <x:c r="J36" s="5" t="n">
        <x:v>0</x:v>
      </x:c>
      <x:c r="K36" s="5" t="str">
        <x:v>rate</x:v>
      </x:c>
      <x:c r="L36" s="5" t="str">
        <x:v>N/A: zero independent human Gold labels; AI must not be promoted to human truth</x:v>
      </x:c>
    </x:row>
    <x:row r="37" ht="20" hidden="0" customHeight="1">
      <x:c r="A37" s="5" t="str">
        <x:v>paired_full</x:v>
      </x:c>
      <x:c r="B37" s="5" t="str">
        <x:v>development</x:v>
      </x:c>
      <x:c r="C37" s="5" t="str">
        <x:v>D2_ARCHIVED</x:v>
      </x:c>
      <x:c r="D37" s="5" t="str">
        <x:v>parameters_gold_accuracy</x:v>
      </x:c>
      <x:c r="E37" s="5"/>
      <x:c r="F37" s="5"/>
      <x:c r="G37" s="10" t="str">
        <x:f>IF(COUNTBLANK(E37:F37)&gt;0,"N/A",IF(F37=0,"N/A",E37/F37))</x:f>
        <x:v>N/A</x:v>
      </x:c>
      <x:c r="H37" s="5" t="str">
        <x:v>Gold</x:v>
      </x:c>
      <x:c r="I37" s="5" t="n">
        <x:v>0</x:v>
      </x:c>
      <x:c r="J37" s="5" t="n">
        <x:v>0</x:v>
      </x:c>
      <x:c r="K37" s="5" t="str">
        <x:v>rate</x:v>
      </x:c>
      <x:c r="L37" s="5" t="str">
        <x:v>N/A: zero independent human Gold labels; AI must not be promoted to human truth</x:v>
      </x:c>
    </x:row>
    <x:row r="38" ht="20" hidden="0" customHeight="1">
      <x:c r="A38" s="5" t="str">
        <x:v>paired_full</x:v>
      </x:c>
      <x:c r="B38" s="5" t="str">
        <x:v>development</x:v>
      </x:c>
      <x:c r="C38" s="5" t="str">
        <x:v>D2_ARCHIVED</x:v>
      </x:c>
      <x:c r="D38" s="5" t="str">
        <x:v>multiple_contributions_gold_accuracy</x:v>
      </x:c>
      <x:c r="E38" s="5"/>
      <x:c r="F38" s="5"/>
      <x:c r="G38" s="10" t="str">
        <x:f>IF(COUNTBLANK(E38:F38)&gt;0,"N/A",IF(F38=0,"N/A",E38/F38))</x:f>
        <x:v>N/A</x:v>
      </x:c>
      <x:c r="H38" s="5" t="str">
        <x:v>Gold</x:v>
      </x:c>
      <x:c r="I38" s="5" t="n">
        <x:v>0</x:v>
      </x:c>
      <x:c r="J38" s="5" t="n">
        <x:v>0</x:v>
      </x:c>
      <x:c r="K38" s="5" t="str">
        <x:v>rate</x:v>
      </x:c>
      <x:c r="L38" s="5" t="str">
        <x:v>N/A: zero independent human Gold labels; AI must not be promoted to human truth</x:v>
      </x:c>
    </x:row>
    <x:row r="39" ht="20" hidden="0" customHeight="1">
      <x:c r="A39" s="5" t="str">
        <x:v>paired_full</x:v>
      </x:c>
      <x:c r="B39" s="5" t="str">
        <x:v>development</x:v>
      </x:c>
      <x:c r="C39" s="5" t="str">
        <x:v>D3_FIDELITY</x:v>
      </x:c>
      <x:c r="D39" s="5" t="str">
        <x:v>technical_object_correct_rate</x:v>
      </x:c>
      <x:c r="E39" s="5" t="n">
        <x:v>90</x:v>
      </x:c>
      <x:c r="F39" s="5" t="n">
        <x:v>91</x:v>
      </x:c>
      <x:c r="G39" s="10" t="n">
        <x:f>IF(COUNTBLANK(E39:F39)&gt;0,"N/A",IF(F39=0,"N/A",E39/F39))</x:f>
        <x:v>0.989010989010989</x:v>
      </x:c>
      <x:c r="H39" s="5" t="str">
        <x:v>Silver</x:v>
      </x:c>
      <x:c r="I39" s="5" t="n">
        <x:v>95</x:v>
      </x:c>
      <x:c r="J39" s="5" t="n">
        <x:v>4</x:v>
      </x:c>
      <x:c r="K39" s="5" t="str">
        <x:v>rate</x:v>
      </x:c>
      <x:c r="L39" s="5" t="str">
        <x:v>Correct / {Correct,Partially Correct,Incorrect}; insufficient and uncertain excluded; same-model Silver</x:v>
      </x:c>
    </x:row>
    <x:row r="40" ht="20" hidden="0" customHeight="1">
      <x:c r="A40" s="5" t="str">
        <x:v>paired_full</x:v>
      </x:c>
      <x:c r="B40" s="5" t="str">
        <x:v>development</x:v>
      </x:c>
      <x:c r="C40" s="5" t="str">
        <x:v>D3_FIDELITY</x:v>
      </x:c>
      <x:c r="D40" s="5" t="str">
        <x:v>technical_object_partially_correct_rate</x:v>
      </x:c>
      <x:c r="E40" s="5" t="n">
        <x:v>1</x:v>
      </x:c>
      <x:c r="F40" s="5" t="n">
        <x:v>91</x:v>
      </x:c>
      <x:c r="G40" s="10" t="n">
        <x:f>IF(COUNTBLANK(E40:F40)&gt;0,"N/A",IF(F40=0,"N/A",E40/F40))</x:f>
        <x:v>0.01098901098901099</x:v>
      </x:c>
      <x:c r="H40" s="5" t="str">
        <x:v>Silver</x:v>
      </x:c>
      <x:c r="I40" s="5" t="n">
        <x:v>95</x:v>
      </x:c>
      <x:c r="J40" s="5" t="n">
        <x:v>4</x:v>
      </x:c>
      <x:c r="K40" s="5" t="str">
        <x:v>rate</x:v>
      </x:c>
      <x:c r="L40" s="5" t="str"/>
    </x:row>
    <x:row r="41" ht="20" hidden="0" customHeight="1">
      <x:c r="A41" s="5" t="str">
        <x:v>paired_full</x:v>
      </x:c>
      <x:c r="B41" s="5" t="str">
        <x:v>development</x:v>
      </x:c>
      <x:c r="C41" s="5" t="str">
        <x:v>D3_FIDELITY</x:v>
      </x:c>
      <x:c r="D41" s="5" t="str">
        <x:v>technical_problem_correct_rate</x:v>
      </x:c>
      <x:c r="E41" s="5" t="n">
        <x:v>73</x:v>
      </x:c>
      <x:c r="F41" s="5" t="n">
        <x:v>74</x:v>
      </x:c>
      <x:c r="G41" s="10" t="n">
        <x:f>IF(COUNTBLANK(E41:F41)&gt;0,"N/A",IF(F41=0,"N/A",E41/F41))</x:f>
        <x:v>0.9864864864864865</x:v>
      </x:c>
      <x:c r="H41" s="5" t="str">
        <x:v>Silver</x:v>
      </x:c>
      <x:c r="I41" s="5" t="n">
        <x:v>95</x:v>
      </x:c>
      <x:c r="J41" s="5" t="n">
        <x:v>21</x:v>
      </x:c>
      <x:c r="K41" s="5" t="str">
        <x:v>rate</x:v>
      </x:c>
      <x:c r="L41" s="5" t="str">
        <x:v>Correct / {Correct,Partially Correct,Incorrect}; insufficient and uncertain excluded; same-model Silver</x:v>
      </x:c>
    </x:row>
    <x:row r="42" ht="20" hidden="0" customHeight="1">
      <x:c r="A42" s="5" t="str">
        <x:v>paired_full</x:v>
      </x:c>
      <x:c r="B42" s="5" t="str">
        <x:v>development</x:v>
      </x:c>
      <x:c r="C42" s="5" t="str">
        <x:v>D3_FIDELITY</x:v>
      </x:c>
      <x:c r="D42" s="5" t="str">
        <x:v>technical_problem_partially_correct_rate</x:v>
      </x:c>
      <x:c r="E42" s="5" t="n">
        <x:v>1</x:v>
      </x:c>
      <x:c r="F42" s="5" t="n">
        <x:v>74</x:v>
      </x:c>
      <x:c r="G42" s="10" t="n">
        <x:f>IF(COUNTBLANK(E42:F42)&gt;0,"N/A",IF(F42=0,"N/A",E42/F42))</x:f>
        <x:v>0.013513513513513514</x:v>
      </x:c>
      <x:c r="H42" s="5" t="str">
        <x:v>Silver</x:v>
      </x:c>
      <x:c r="I42" s="5" t="n">
        <x:v>95</x:v>
      </x:c>
      <x:c r="J42" s="5" t="n">
        <x:v>21</x:v>
      </x:c>
      <x:c r="K42" s="5" t="str">
        <x:v>rate</x:v>
      </x:c>
      <x:c r="L42" s="5" t="str"/>
    </x:row>
    <x:row r="43" ht="20" hidden="0" customHeight="1">
      <x:c r="A43" s="5" t="str">
        <x:v>paired_full</x:v>
      </x:c>
      <x:c r="B43" s="5" t="str">
        <x:v>development</x:v>
      </x:c>
      <x:c r="C43" s="5" t="str">
        <x:v>D3_FIDELITY</x:v>
      </x:c>
      <x:c r="D43" s="5" t="str">
        <x:v>technical_mechanism_correct_rate</x:v>
      </x:c>
      <x:c r="E43" s="5" t="n">
        <x:v>78</x:v>
      </x:c>
      <x:c r="F43" s="5" t="n">
        <x:v>86</x:v>
      </x:c>
      <x:c r="G43" s="10" t="n">
        <x:f>IF(COUNTBLANK(E43:F43)&gt;0,"N/A",IF(F43=0,"N/A",E43/F43))</x:f>
        <x:v>0.9069767441860465</x:v>
      </x:c>
      <x:c r="H43" s="5" t="str">
        <x:v>Silver</x:v>
      </x:c>
      <x:c r="I43" s="5" t="n">
        <x:v>95</x:v>
      </x:c>
      <x:c r="J43" s="5" t="n">
        <x:v>9</x:v>
      </x:c>
      <x:c r="K43" s="5" t="str">
        <x:v>rate</x:v>
      </x:c>
      <x:c r="L43" s="5" t="str">
        <x:v>Correct / {Correct,Partially Correct,Incorrect}; insufficient and uncertain excluded; same-model Silver</x:v>
      </x:c>
    </x:row>
    <x:row r="44" ht="20" hidden="0" customHeight="1">
      <x:c r="A44" s="5" t="str">
        <x:v>paired_full</x:v>
      </x:c>
      <x:c r="B44" s="5" t="str">
        <x:v>development</x:v>
      </x:c>
      <x:c r="C44" s="5" t="str">
        <x:v>D3_FIDELITY</x:v>
      </x:c>
      <x:c r="D44" s="5" t="str">
        <x:v>technical_mechanism_partially_correct_rate</x:v>
      </x:c>
      <x:c r="E44" s="5" t="n">
        <x:v>8</x:v>
      </x:c>
      <x:c r="F44" s="5" t="n">
        <x:v>86</x:v>
      </x:c>
      <x:c r="G44" s="10" t="n">
        <x:f>IF(COUNTBLANK(E44:F44)&gt;0,"N/A",IF(F44=0,"N/A",E44/F44))</x:f>
        <x:v>0.09302325581395349</x:v>
      </x:c>
      <x:c r="H44" s="5" t="str">
        <x:v>Silver</x:v>
      </x:c>
      <x:c r="I44" s="5" t="n">
        <x:v>95</x:v>
      </x:c>
      <x:c r="J44" s="5" t="n">
        <x:v>9</x:v>
      </x:c>
      <x:c r="K44" s="5" t="str">
        <x:v>rate</x:v>
      </x:c>
      <x:c r="L44" s="5" t="str"/>
    </x:row>
    <x:row r="45" ht="20" hidden="0" customHeight="1">
      <x:c r="A45" s="5" t="str">
        <x:v>paired_full</x:v>
      </x:c>
      <x:c r="B45" s="5" t="str">
        <x:v>development</x:v>
      </x:c>
      <x:c r="C45" s="5" t="str">
        <x:v>D3_FIDELITY</x:v>
      </x:c>
      <x:c r="D45" s="5" t="str">
        <x:v>materials_correct_rate</x:v>
      </x:c>
      <x:c r="E45" s="5" t="n">
        <x:v>52</x:v>
      </x:c>
      <x:c r="F45" s="5" t="n">
        <x:v>73</x:v>
      </x:c>
      <x:c r="G45" s="10" t="n">
        <x:f>IF(COUNTBLANK(E45:F45)&gt;0,"N/A",IF(F45=0,"N/A",E45/F45))</x:f>
        <x:v>0.7123287671232876</x:v>
      </x:c>
      <x:c r="H45" s="5" t="str">
        <x:v>Silver</x:v>
      </x:c>
      <x:c r="I45" s="5" t="n">
        <x:v>95</x:v>
      </x:c>
      <x:c r="J45" s="5" t="n">
        <x:v>22</x:v>
      </x:c>
      <x:c r="K45" s="5" t="str">
        <x:v>rate</x:v>
      </x:c>
      <x:c r="L45" s="5" t="str">
        <x:v>Correct / {Correct,Partially Correct,Incorrect}; insufficient and uncertain excluded; same-model Silver</x:v>
      </x:c>
    </x:row>
    <x:row r="46" ht="20" hidden="0" customHeight="1">
      <x:c r="A46" s="5" t="str">
        <x:v>paired_full</x:v>
      </x:c>
      <x:c r="B46" s="5" t="str">
        <x:v>development</x:v>
      </x:c>
      <x:c r="C46" s="5" t="str">
        <x:v>D3_FIDELITY</x:v>
      </x:c>
      <x:c r="D46" s="5" t="str">
        <x:v>materials_partially_correct_rate</x:v>
      </x:c>
      <x:c r="E46" s="5" t="n">
        <x:v>21</x:v>
      </x:c>
      <x:c r="F46" s="5" t="n">
        <x:v>73</x:v>
      </x:c>
      <x:c r="G46" s="10" t="n">
        <x:f>IF(COUNTBLANK(E46:F46)&gt;0,"N/A",IF(F46=0,"N/A",E46/F46))</x:f>
        <x:v>0.2876712328767123</x:v>
      </x:c>
      <x:c r="H46" s="5" t="str">
        <x:v>Silver</x:v>
      </x:c>
      <x:c r="I46" s="5" t="n">
        <x:v>95</x:v>
      </x:c>
      <x:c r="J46" s="5" t="n">
        <x:v>22</x:v>
      </x:c>
      <x:c r="K46" s="5" t="str">
        <x:v>rate</x:v>
      </x:c>
      <x:c r="L46" s="5" t="str"/>
    </x:row>
    <x:row r="47" ht="20" hidden="0" customHeight="1">
      <x:c r="A47" s="5" t="str">
        <x:v>paired_full</x:v>
      </x:c>
      <x:c r="B47" s="5" t="str">
        <x:v>development</x:v>
      </x:c>
      <x:c r="C47" s="5" t="str">
        <x:v>D3_FIDELITY</x:v>
      </x:c>
      <x:c r="D47" s="5" t="str">
        <x:v>process_method_correct_rate</x:v>
      </x:c>
      <x:c r="E47" s="5" t="n">
        <x:v>54</x:v>
      </x:c>
      <x:c r="F47" s="5" t="n">
        <x:v>63</x:v>
      </x:c>
      <x:c r="G47" s="10" t="n">
        <x:f>IF(COUNTBLANK(E47:F47)&gt;0,"N/A",IF(F47=0,"N/A",E47/F47))</x:f>
        <x:v>0.8571428571428571</x:v>
      </x:c>
      <x:c r="H47" s="5" t="str">
        <x:v>Silver</x:v>
      </x:c>
      <x:c r="I47" s="5" t="n">
        <x:v>95</x:v>
      </x:c>
      <x:c r="J47" s="5" t="n">
        <x:v>32</x:v>
      </x:c>
      <x:c r="K47" s="5" t="str">
        <x:v>rate</x:v>
      </x:c>
      <x:c r="L47" s="5" t="str">
        <x:v>Correct / {Correct,Partially Correct,Incorrect}; insufficient and uncertain excluded; same-model Silver</x:v>
      </x:c>
    </x:row>
    <x:row r="48" ht="20" hidden="0" customHeight="1">
      <x:c r="A48" s="5" t="str">
        <x:v>paired_full</x:v>
      </x:c>
      <x:c r="B48" s="5" t="str">
        <x:v>development</x:v>
      </x:c>
      <x:c r="C48" s="5" t="str">
        <x:v>D3_FIDELITY</x:v>
      </x:c>
      <x:c r="D48" s="5" t="str">
        <x:v>process_method_partially_correct_rate</x:v>
      </x:c>
      <x:c r="E48" s="5" t="n">
        <x:v>9</x:v>
      </x:c>
      <x:c r="F48" s="5" t="n">
        <x:v>63</x:v>
      </x:c>
      <x:c r="G48" s="10" t="n">
        <x:f>IF(COUNTBLANK(E48:F48)&gt;0,"N/A",IF(F48=0,"N/A",E48/F48))</x:f>
        <x:v>0.14285714285714285</x:v>
      </x:c>
      <x:c r="H48" s="5" t="str">
        <x:v>Silver</x:v>
      </x:c>
      <x:c r="I48" s="5" t="n">
        <x:v>95</x:v>
      </x:c>
      <x:c r="J48" s="5" t="n">
        <x:v>32</x:v>
      </x:c>
      <x:c r="K48" s="5" t="str">
        <x:v>rate</x:v>
      </x:c>
      <x:c r="L48" s="5" t="str"/>
    </x:row>
    <x:row r="49" ht="20" hidden="0" customHeight="1">
      <x:c r="A49" s="5" t="str">
        <x:v>paired_full</x:v>
      </x:c>
      <x:c r="B49" s="5" t="str">
        <x:v>development</x:v>
      </x:c>
      <x:c r="C49" s="5" t="str">
        <x:v>D3_FIDELITY</x:v>
      </x:c>
      <x:c r="D49" s="5" t="str">
        <x:v>process_order_correct_rate</x:v>
      </x:c>
      <x:c r="E49" s="5" t="n">
        <x:v>21</x:v>
      </x:c>
      <x:c r="F49" s="5" t="n">
        <x:v>27</x:v>
      </x:c>
      <x:c r="G49" s="10" t="n">
        <x:f>IF(COUNTBLANK(E49:F49)&gt;0,"N/A",IF(F49=0,"N/A",E49/F49))</x:f>
        <x:v>0.7777777777777778</x:v>
      </x:c>
      <x:c r="H49" s="5" t="str">
        <x:v>Silver</x:v>
      </x:c>
      <x:c r="I49" s="5" t="n">
        <x:v>95</x:v>
      </x:c>
      <x:c r="J49" s="5" t="n">
        <x:v>68</x:v>
      </x:c>
      <x:c r="K49" s="5" t="str">
        <x:v>rate</x:v>
      </x:c>
      <x:c r="L49" s="5" t="str">
        <x:v>Correct / {Correct,Partially Correct,Incorrect}; insufficient and uncertain excluded; same-model Silver</x:v>
      </x:c>
    </x:row>
    <x:row r="50" ht="20" hidden="0" customHeight="1">
      <x:c r="A50" s="5" t="str">
        <x:v>paired_full</x:v>
      </x:c>
      <x:c r="B50" s="5" t="str">
        <x:v>development</x:v>
      </x:c>
      <x:c r="C50" s="5" t="str">
        <x:v>D3_FIDELITY</x:v>
      </x:c>
      <x:c r="D50" s="5" t="str">
        <x:v>process_order_partially_correct_rate</x:v>
      </x:c>
      <x:c r="E50" s="5" t="n">
        <x:v>6</x:v>
      </x:c>
      <x:c r="F50" s="5" t="n">
        <x:v>27</x:v>
      </x:c>
      <x:c r="G50" s="10" t="n">
        <x:f>IF(COUNTBLANK(E50:F50)&gt;0,"N/A",IF(F50=0,"N/A",E50/F50))</x:f>
        <x:v>0.2222222222222222</x:v>
      </x:c>
      <x:c r="H50" s="5" t="str">
        <x:v>Silver</x:v>
      </x:c>
      <x:c r="I50" s="5" t="n">
        <x:v>95</x:v>
      </x:c>
      <x:c r="J50" s="5" t="n">
        <x:v>68</x:v>
      </x:c>
      <x:c r="K50" s="5" t="str">
        <x:v>rate</x:v>
      </x:c>
      <x:c r="L50" s="5" t="str"/>
    </x:row>
    <x:row r="51" ht="20" hidden="0" customHeight="1">
      <x:c r="A51" s="5" t="str">
        <x:v>paired_full</x:v>
      </x:c>
      <x:c r="B51" s="5" t="str">
        <x:v>development</x:v>
      </x:c>
      <x:c r="C51" s="5" t="str">
        <x:v>D3_FIDELITY</x:v>
      </x:c>
      <x:c r="D51" s="5" t="str">
        <x:v>parameters_correct_rate</x:v>
      </x:c>
      <x:c r="E51" s="5" t="n">
        <x:v>40</x:v>
      </x:c>
      <x:c r="F51" s="5" t="n">
        <x:v>47</x:v>
      </x:c>
      <x:c r="G51" s="10" t="n">
        <x:f>IF(COUNTBLANK(E51:F51)&gt;0,"N/A",IF(F51=0,"N/A",E51/F51))</x:f>
        <x:v>0.851063829787234</x:v>
      </x:c>
      <x:c r="H51" s="5" t="str">
        <x:v>Silver</x:v>
      </x:c>
      <x:c r="I51" s="5" t="n">
        <x:v>95</x:v>
      </x:c>
      <x:c r="J51" s="5" t="n">
        <x:v>48</x:v>
      </x:c>
      <x:c r="K51" s="5" t="str">
        <x:v>rate</x:v>
      </x:c>
      <x:c r="L51" s="5" t="str">
        <x:v>Correct / {Correct,Partially Correct,Incorrect}; insufficient and uncertain excluded; same-model Silver</x:v>
      </x:c>
    </x:row>
    <x:row r="52" ht="20" hidden="0" customHeight="1">
      <x:c r="A52" s="5" t="str">
        <x:v>paired_full</x:v>
      </x:c>
      <x:c r="B52" s="5" t="str">
        <x:v>development</x:v>
      </x:c>
      <x:c r="C52" s="5" t="str">
        <x:v>D3_FIDELITY</x:v>
      </x:c>
      <x:c r="D52" s="5" t="str">
        <x:v>parameters_partially_correct_rate</x:v>
      </x:c>
      <x:c r="E52" s="5" t="n">
        <x:v>7</x:v>
      </x:c>
      <x:c r="F52" s="5" t="n">
        <x:v>47</x:v>
      </x:c>
      <x:c r="G52" s="10" t="n">
        <x:f>IF(COUNTBLANK(E52:F52)&gt;0,"N/A",IF(F52=0,"N/A",E52/F52))</x:f>
        <x:v>0.14893617021276595</x:v>
      </x:c>
      <x:c r="H52" s="5" t="str">
        <x:v>Silver</x:v>
      </x:c>
      <x:c r="I52" s="5" t="n">
        <x:v>95</x:v>
      </x:c>
      <x:c r="J52" s="5" t="n">
        <x:v>48</x:v>
      </x:c>
      <x:c r="K52" s="5" t="str">
        <x:v>rate</x:v>
      </x:c>
      <x:c r="L52" s="5" t="str"/>
    </x:row>
    <x:row r="53" ht="20" hidden="0" customHeight="1">
      <x:c r="A53" s="5" t="str">
        <x:v>paired_full</x:v>
      </x:c>
      <x:c r="B53" s="5" t="str">
        <x:v>development</x:v>
      </x:c>
      <x:c r="C53" s="5" t="str">
        <x:v>D3_FIDELITY</x:v>
      </x:c>
      <x:c r="D53" s="5" t="str">
        <x:v>effects_correct_rate</x:v>
      </x:c>
      <x:c r="E53" s="5" t="n">
        <x:v>76</x:v>
      </x:c>
      <x:c r="F53" s="5" t="n">
        <x:v>77</x:v>
      </x:c>
      <x:c r="G53" s="10" t="n">
        <x:f>IF(COUNTBLANK(E53:F53)&gt;0,"N/A",IF(F53=0,"N/A",E53/F53))</x:f>
        <x:v>0.987012987012987</x:v>
      </x:c>
      <x:c r="H53" s="5" t="str">
        <x:v>Silver</x:v>
      </x:c>
      <x:c r="I53" s="5" t="n">
        <x:v>95</x:v>
      </x:c>
      <x:c r="J53" s="5" t="n">
        <x:v>18</x:v>
      </x:c>
      <x:c r="K53" s="5" t="str">
        <x:v>rate</x:v>
      </x:c>
      <x:c r="L53" s="5" t="str">
        <x:v>Correct / {Correct,Partially Correct,Incorrect}; insufficient and uncertain excluded; same-model Silver</x:v>
      </x:c>
    </x:row>
    <x:row r="54" ht="20" hidden="0" customHeight="1">
      <x:c r="A54" s="5" t="str">
        <x:v>paired_full</x:v>
      </x:c>
      <x:c r="B54" s="5" t="str">
        <x:v>development</x:v>
      </x:c>
      <x:c r="C54" s="5" t="str">
        <x:v>D3_FIDELITY</x:v>
      </x:c>
      <x:c r="D54" s="5" t="str">
        <x:v>effects_partially_correct_rate</x:v>
      </x:c>
      <x:c r="E54" s="5" t="n">
        <x:v>1</x:v>
      </x:c>
      <x:c r="F54" s="5" t="n">
        <x:v>77</x:v>
      </x:c>
      <x:c r="G54" s="10" t="n">
        <x:f>IF(COUNTBLANK(E54:F54)&gt;0,"N/A",IF(F54=0,"N/A",E54/F54))</x:f>
        <x:v>0.012987012987012988</x:v>
      </x:c>
      <x:c r="H54" s="5" t="str">
        <x:v>Silver</x:v>
      </x:c>
      <x:c r="I54" s="5" t="n">
        <x:v>95</x:v>
      </x:c>
      <x:c r="J54" s="5" t="n">
        <x:v>18</x:v>
      </x:c>
      <x:c r="K54" s="5" t="str">
        <x:v>rate</x:v>
      </x:c>
      <x:c r="L54" s="5" t="str"/>
    </x:row>
    <x:row r="55" ht="20" hidden="0" customHeight="1">
      <x:c r="A55" s="5" t="str">
        <x:v>paired_full</x:v>
      </x:c>
      <x:c r="B55" s="5" t="str">
        <x:v>development</x:v>
      </x:c>
      <x:c r="C55" s="5" t="str">
        <x:v>D3_FIDELITY</x:v>
      </x:c>
      <x:c r="D55" s="5" t="str">
        <x:v>multiple_contributions_correct_rate</x:v>
      </x:c>
      <x:c r="E55" s="5" t="n">
        <x:v>80</x:v>
      </x:c>
      <x:c r="F55" s="5" t="n">
        <x:v>89</x:v>
      </x:c>
      <x:c r="G55" s="10" t="n">
        <x:f>IF(COUNTBLANK(E55:F55)&gt;0,"N/A",IF(F55=0,"N/A",E55/F55))</x:f>
        <x:v>0.898876404494382</x:v>
      </x:c>
      <x:c r="H55" s="5" t="str">
        <x:v>Silver</x:v>
      </x:c>
      <x:c r="I55" s="5" t="n">
        <x:v>95</x:v>
      </x:c>
      <x:c r="J55" s="5" t="n">
        <x:v>6</x:v>
      </x:c>
      <x:c r="K55" s="5" t="str">
        <x:v>rate</x:v>
      </x:c>
      <x:c r="L55" s="5" t="str">
        <x:v>Correct / {Correct,Partially Correct,Incorrect}; insufficient and uncertain excluded; same-model Silver</x:v>
      </x:c>
    </x:row>
    <x:row r="56" ht="20" hidden="0" customHeight="1">
      <x:c r="A56" s="5" t="str">
        <x:v>paired_full</x:v>
      </x:c>
      <x:c r="B56" s="5" t="str">
        <x:v>development</x:v>
      </x:c>
      <x:c r="C56" s="5" t="str">
        <x:v>D3_FIDELITY</x:v>
      </x:c>
      <x:c r="D56" s="5" t="str">
        <x:v>multiple_contributions_partially_correct_rate</x:v>
      </x:c>
      <x:c r="E56" s="5" t="n">
        <x:v>8</x:v>
      </x:c>
      <x:c r="F56" s="5" t="n">
        <x:v>89</x:v>
      </x:c>
      <x:c r="G56" s="10" t="n">
        <x:f>IF(COUNTBLANK(E56:F56)&gt;0,"N/A",IF(F56=0,"N/A",E56/F56))</x:f>
        <x:v>0.0898876404494382</x:v>
      </x:c>
      <x:c r="H56" s="5" t="str">
        <x:v>Silver</x:v>
      </x:c>
      <x:c r="I56" s="5" t="n">
        <x:v>95</x:v>
      </x:c>
      <x:c r="J56" s="5" t="n">
        <x:v>6</x:v>
      </x:c>
      <x:c r="K56" s="5" t="str">
        <x:v>rate</x:v>
      </x:c>
      <x:c r="L56" s="5" t="str"/>
    </x:row>
    <x:row r="57" ht="20" hidden="0" customHeight="1">
      <x:c r="A57" s="5" t="str">
        <x:v>paired_full</x:v>
      </x:c>
      <x:c r="B57" s="5" t="str">
        <x:v>development</x:v>
      </x:c>
      <x:c r="C57" s="5" t="str">
        <x:v>D3_FIDELITY</x:v>
      </x:c>
      <x:c r="D57" s="5" t="str">
        <x:v>hallucination_correct_rate</x:v>
      </x:c>
      <x:c r="E57" s="5" t="n">
        <x:v>94</x:v>
      </x:c>
      <x:c r="F57" s="5" t="n">
        <x:v>95</x:v>
      </x:c>
      <x:c r="G57" s="10" t="n">
        <x:f>IF(COUNTBLANK(E57:F57)&gt;0,"N/A",IF(F57=0,"N/A",E57/F57))</x:f>
        <x:v>0.9894736842105263</x:v>
      </x:c>
      <x:c r="H57" s="5" t="str">
        <x:v>Silver</x:v>
      </x:c>
      <x:c r="I57" s="5" t="n">
        <x:v>95</x:v>
      </x:c>
      <x:c r="J57" s="5" t="n">
        <x:v>0</x:v>
      </x:c>
      <x:c r="K57" s="5" t="str">
        <x:v>rate</x:v>
      </x:c>
      <x:c r="L57" s="5" t="str">
        <x:v>Correct / {Correct,Partially Correct,Incorrect}; insufficient and uncertain excluded; same-model Silver</x:v>
      </x:c>
    </x:row>
    <x:row r="58" ht="20" hidden="0" customHeight="1">
      <x:c r="A58" s="5" t="str">
        <x:v>paired_full</x:v>
      </x:c>
      <x:c r="B58" s="5" t="str">
        <x:v>development</x:v>
      </x:c>
      <x:c r="C58" s="5" t="str">
        <x:v>D3_FIDELITY</x:v>
      </x:c>
      <x:c r="D58" s="5" t="str">
        <x:v>hallucination_partially_correct_rate</x:v>
      </x:c>
      <x:c r="E58" s="5" t="n">
        <x:v>1</x:v>
      </x:c>
      <x:c r="F58" s="5" t="n">
        <x:v>95</x:v>
      </x:c>
      <x:c r="G58" s="10" t="n">
        <x:f>IF(COUNTBLANK(E58:F58)&gt;0,"N/A",IF(F58=0,"N/A",E58/F58))</x:f>
        <x:v>0.010526315789473684</x:v>
      </x:c>
      <x:c r="H58" s="5" t="str">
        <x:v>Silver</x:v>
      </x:c>
      <x:c r="I58" s="5" t="n">
        <x:v>95</x:v>
      </x:c>
      <x:c r="J58" s="5" t="n">
        <x:v>0</x:v>
      </x:c>
      <x:c r="K58" s="5" t="str">
        <x:v>rate</x:v>
      </x:c>
      <x:c r="L58" s="5" t="str"/>
    </x:row>
    <x:row r="59" ht="31" hidden="0" customHeight="1">
      <x:c r="A59" s="5" t="str">
        <x:v>paired_full</x:v>
      </x:c>
      <x:c r="B59" s="5" t="str">
        <x:v>development</x:v>
      </x:c>
      <x:c r="C59" s="5" t="str">
        <x:v>D3_FIDELITY</x:v>
      </x:c>
      <x:c r="D59" s="5" t="str">
        <x:v>contribution_coverage</x:v>
      </x:c>
      <x:c r="E59" s="5" t="n">
        <x:v>99</x:v>
      </x:c>
      <x:c r="F59" s="5" t="n">
        <x:v>100</x:v>
      </x:c>
      <x:c r="G59" s="10" t="n">
        <x:f>IF(COUNTBLANK(E59:F59)&gt;0,"N/A",IF(F59=0,"N/A",E59/F59))</x:f>
        <x:v>0.99</x:v>
      </x:c>
      <x:c r="H59" s="5" t="str">
        <x:v>Silver</x:v>
      </x:c>
      <x:c r="I59" s="5" t="n">
        <x:v>95</x:v>
      </x:c>
      <x:c r="J59" s="5" t="n">
        <x:v>9</x:v>
      </x:c>
      <x:c r="K59" s="5" t="str">
        <x:v>rate</x:v>
      </x:c>
      <x:c r="L59" s="5" t="str">
        <x:v>Source-reference denominators required consistent across matched configs; disagreements/zero applicability excluded</x:v>
      </x:c>
    </x:row>
    <x:row r="60" ht="31" hidden="0" customHeight="1">
      <x:c r="A60" s="5" t="str">
        <x:v>paired_full</x:v>
      </x:c>
      <x:c r="B60" s="5" t="str">
        <x:v>development</x:v>
      </x:c>
      <x:c r="C60" s="5" t="str">
        <x:v>D3_FIDELITY</x:v>
      </x:c>
      <x:c r="D60" s="5" t="str">
        <x:v>material_retention</x:v>
      </x:c>
      <x:c r="E60" s="5" t="n">
        <x:v>179</x:v>
      </x:c>
      <x:c r="F60" s="5" t="n">
        <x:v>180</x:v>
      </x:c>
      <x:c r="G60" s="10" t="n">
        <x:f>IF(COUNTBLANK(E60:F60)&gt;0,"N/A",IF(F60=0,"N/A",E60/F60))</x:f>
        <x:v>0.9944444444444445</x:v>
      </x:c>
      <x:c r="H60" s="5" t="str">
        <x:v>Silver</x:v>
      </x:c>
      <x:c r="I60" s="5" t="n">
        <x:v>95</x:v>
      </x:c>
      <x:c r="J60" s="5" t="n">
        <x:v>28</x:v>
      </x:c>
      <x:c r="K60" s="5" t="str">
        <x:v>rate</x:v>
      </x:c>
      <x:c r="L60" s="5" t="str">
        <x:v>Source-reference denominators required consistent across matched configs; disagreements/zero applicability excluded</x:v>
      </x:c>
    </x:row>
    <x:row r="61" ht="31" hidden="0" customHeight="1">
      <x:c r="A61" s="5" t="str">
        <x:v>paired_full</x:v>
      </x:c>
      <x:c r="B61" s="5" t="str">
        <x:v>development</x:v>
      </x:c>
      <x:c r="C61" s="5" t="str">
        <x:v>D3_FIDELITY</x:v>
      </x:c>
      <x:c r="D61" s="5" t="str">
        <x:v>process_retention</x:v>
      </x:c>
      <x:c r="E61" s="5" t="n">
        <x:v>151</x:v>
      </x:c>
      <x:c r="F61" s="5" t="n">
        <x:v>151</x:v>
      </x:c>
      <x:c r="G61" s="10" t="n">
        <x:f>IF(COUNTBLANK(E61:F61)&gt;0,"N/A",IF(F61=0,"N/A",E61/F61))</x:f>
        <x:v>1</x:v>
      </x:c>
      <x:c r="H61" s="5" t="str">
        <x:v>Silver</x:v>
      </x:c>
      <x:c r="I61" s="5" t="n">
        <x:v>95</x:v>
      </x:c>
      <x:c r="J61" s="5" t="n">
        <x:v>36</x:v>
      </x:c>
      <x:c r="K61" s="5" t="str">
        <x:v>rate</x:v>
      </x:c>
      <x:c r="L61" s="5" t="str">
        <x:v>Source-reference denominators required consistent across matched configs; disagreements/zero applicability excluded</x:v>
      </x:c>
    </x:row>
    <x:row r="62" ht="20" hidden="0" customHeight="1">
      <x:c r="A62" s="5" t="str">
        <x:v>paired_full</x:v>
      </x:c>
      <x:c r="B62" s="5" t="str">
        <x:v>development</x:v>
      </x:c>
      <x:c r="C62" s="5" t="str">
        <x:v>D3_FIDELITY</x:v>
      </x:c>
      <x:c r="D62" s="5" t="str">
        <x:v>multi_contribution_omission_rate</x:v>
      </x:c>
      <x:c r="E62" s="5" t="n">
        <x:v>0</x:v>
      </x:c>
      <x:c r="F62" s="5" t="n">
        <x:v>10</x:v>
      </x:c>
      <x:c r="G62" s="10" t="n">
        <x:f>IF(COUNTBLANK(E62:F62)&gt;0,"N/A",IF(F62=0,"N/A",E62/F62))</x:f>
        <x:v>0</x:v>
      </x:c>
      <x:c r="H62" s="5" t="str">
        <x:v>Silver</x:v>
      </x:c>
      <x:c r="I62" s="5" t="n">
        <x:v>95</x:v>
      </x:c>
      <x:c r="J62" s="5" t="n">
        <x:v>85</x:v>
      </x:c>
      <x:c r="K62" s="5" t="str">
        <x:v>rate</x:v>
      </x:c>
      <x:c r="L62" s="5" t="str"/>
    </x:row>
    <x:row r="63" ht="20" hidden="0" customHeight="1">
      <x:c r="A63" s="5" t="str">
        <x:v>paired_full</x:v>
      </x:c>
      <x:c r="B63" s="5" t="str">
        <x:v>development</x:v>
      </x:c>
      <x:c r="C63" s="5" t="str">
        <x:v>D3_FIDELITY</x:v>
      </x:c>
      <x:c r="D63" s="5" t="str">
        <x:v>full_conclusion_support_rate</x:v>
      </x:c>
      <x:c r="E63" s="5" t="n">
        <x:v>84</x:v>
      </x:c>
      <x:c r="F63" s="5" t="n">
        <x:v>87</x:v>
      </x:c>
      <x:c r="G63" s="10" t="n">
        <x:f>IF(COUNTBLANK(E63:F63)&gt;0,"N/A",IF(F63=0,"N/A",E63/F63))</x:f>
        <x:v>0.9655172413793104</x:v>
      </x:c>
      <x:c r="H63" s="5" t="str">
        <x:v>Silver</x:v>
      </x:c>
      <x:c r="I63" s="5" t="n">
        <x:v>95</x:v>
      </x:c>
      <x:c r="J63" s="5" t="n">
        <x:v>8</x:v>
      </x:c>
      <x:c r="K63" s="5" t="str">
        <x:v>rate</x:v>
      </x:c>
      <x:c r="L63" s="5" t="str"/>
    </x:row>
    <x:row r="64" ht="20" hidden="0" customHeight="1">
      <x:c r="A64" s="5" t="str">
        <x:v>paired_full</x:v>
      </x:c>
      <x:c r="B64" s="5" t="str">
        <x:v>development</x:v>
      </x:c>
      <x:c r="C64" s="5" t="str">
        <x:v>D3_FIDELITY</x:v>
      </x:c>
      <x:c r="D64" s="5" t="str">
        <x:v>mean_contributions_per_family</x:v>
      </x:c>
      <x:c r="E64" s="5" t="n">
        <x:v>104</x:v>
      </x:c>
      <x:c r="F64" s="5" t="n">
        <x:v>95</x:v>
      </x:c>
      <x:c r="G64" s="11" t="n">
        <x:f>IF(COUNTBLANK(E64:F64)&gt;0,"N/A",IF(F64=0,"N/A",E64/F64))</x:f>
        <x:v>1.0947368421052632</x:v>
      </x:c>
      <x:c r="H64" s="5" t="str">
        <x:v>Silver</x:v>
      </x:c>
      <x:c r="I64" s="5" t="n">
        <x:v>95</x:v>
      </x:c>
      <x:c r="J64" s="5" t="n">
        <x:v>0</x:v>
      </x:c>
      <x:c r="K64" s="5" t="str">
        <x:v>contributions/family</x:v>
      </x:c>
      <x:c r="L64" s="5" t="str"/>
    </x:row>
    <x:row r="65" ht="20" hidden="0" customHeight="1">
      <x:c r="A65" s="5" t="str">
        <x:v>paired_full</x:v>
      </x:c>
      <x:c r="B65" s="5" t="str">
        <x:v>development</x:v>
      </x:c>
      <x:c r="C65" s="5" t="str">
        <x:v>D3_FIDELITY</x:v>
      </x:c>
      <x:c r="D65" s="5" t="str">
        <x:v>oversplit_contribution_rate</x:v>
      </x:c>
      <x:c r="E65" s="5" t="n">
        <x:v>6</x:v>
      </x:c>
      <x:c r="F65" s="5" t="n">
        <x:v>104</x:v>
      </x:c>
      <x:c r="G65" s="10" t="n">
        <x:f>IF(COUNTBLANK(E65:F65)&gt;0,"N/A",IF(F65=0,"N/A",E65/F65))</x:f>
        <x:v>0.057692307692307696</x:v>
      </x:c>
      <x:c r="H65" s="5" t="str">
        <x:v>Silver</x:v>
      </x:c>
      <x:c r="I65" s="5" t="n">
        <x:v>95</x:v>
      </x:c>
      <x:c r="J65" s="5" t="n">
        <x:v>0</x:v>
      </x:c>
      <x:c r="K65" s="5" t="str">
        <x:v>rate</x:v>
      </x:c>
      <x:c r="L65" s="5" t="str">
        <x:v>Auditor oversplit units / actual explicit output units; not a human error rate</x:v>
      </x:c>
    </x:row>
    <x:row r="66" ht="20" hidden="0" customHeight="1">
      <x:c r="A66" s="5" t="str">
        <x:v>paired_full</x:v>
      </x:c>
      <x:c r="B66" s="5" t="str">
        <x:v>development</x:v>
      </x:c>
      <x:c r="C66" s="5" t="str">
        <x:v>D3_FIDELITY</x:v>
      </x:c>
      <x:c r="D66" s="5" t="str">
        <x:v>hallucinated_contribution_rate</x:v>
      </x:c>
      <x:c r="E66" s="5" t="n">
        <x:v>1</x:v>
      </x:c>
      <x:c r="F66" s="5" t="n">
        <x:v>104</x:v>
      </x:c>
      <x:c r="G66" s="10" t="n">
        <x:f>IF(COUNTBLANK(E66:F66)&gt;0,"N/A",IF(F66=0,"N/A",E66/F66))</x:f>
        <x:v>0.009615384615384616</x:v>
      </x:c>
      <x:c r="H66" s="5" t="str">
        <x:v>Silver</x:v>
      </x:c>
      <x:c r="I66" s="5" t="n">
        <x:v>95</x:v>
      </x:c>
      <x:c r="J66" s="5" t="n">
        <x:v>0</x:v>
      </x:c>
      <x:c r="K66" s="5" t="str">
        <x:v>rate</x:v>
      </x:c>
      <x:c r="L66" s="5" t="str"/>
    </x:row>
    <x:row r="67" ht="20" hidden="0" customHeight="1">
      <x:c r="A67" s="5" t="str">
        <x:v>paired_full</x:v>
      </x:c>
      <x:c r="B67" s="5" t="str">
        <x:v>development</x:v>
      </x:c>
      <x:c r="C67" s="5" t="str">
        <x:v>D3_FIDELITY</x:v>
      </x:c>
      <x:c r="D67" s="5" t="str">
        <x:v>technical_mechanism_gold_accuracy</x:v>
      </x:c>
      <x:c r="E67" s="5"/>
      <x:c r="F67" s="5"/>
      <x:c r="G67" s="10" t="str">
        <x:f>IF(COUNTBLANK(E67:F67)&gt;0,"N/A",IF(F67=0,"N/A",E67/F67))</x:f>
        <x:v>N/A</x:v>
      </x:c>
      <x:c r="H67" s="5" t="str">
        <x:v>Gold</x:v>
      </x:c>
      <x:c r="I67" s="5" t="n">
        <x:v>0</x:v>
      </x:c>
      <x:c r="J67" s="5" t="n">
        <x:v>0</x:v>
      </x:c>
      <x:c r="K67" s="5" t="str">
        <x:v>rate</x:v>
      </x:c>
      <x:c r="L67" s="5" t="str">
        <x:v>N/A: zero independent human Gold labels; AI must not be promoted to human truth</x:v>
      </x:c>
    </x:row>
    <x:row r="68" ht="20" hidden="0" customHeight="1">
      <x:c r="A68" s="5" t="str">
        <x:v>paired_full</x:v>
      </x:c>
      <x:c r="B68" s="5" t="str">
        <x:v>development</x:v>
      </x:c>
      <x:c r="C68" s="5" t="str">
        <x:v>D3_FIDELITY</x:v>
      </x:c>
      <x:c r="D68" s="5" t="str">
        <x:v>materials_gold_accuracy</x:v>
      </x:c>
      <x:c r="E68" s="5"/>
      <x:c r="F68" s="5"/>
      <x:c r="G68" s="10" t="str">
        <x:f>IF(COUNTBLANK(E68:F68)&gt;0,"N/A",IF(F68=0,"N/A",E68/F68))</x:f>
        <x:v>N/A</x:v>
      </x:c>
      <x:c r="H68" s="5" t="str">
        <x:v>Gold</x:v>
      </x:c>
      <x:c r="I68" s="5" t="n">
        <x:v>0</x:v>
      </x:c>
      <x:c r="J68" s="5" t="n">
        <x:v>0</x:v>
      </x:c>
      <x:c r="K68" s="5" t="str">
        <x:v>rate</x:v>
      </x:c>
      <x:c r="L68" s="5" t="str">
        <x:v>N/A: zero independent human Gold labels; AI must not be promoted to human truth</x:v>
      </x:c>
    </x:row>
    <x:row r="69" ht="20" hidden="0" customHeight="1">
      <x:c r="A69" s="5" t="str">
        <x:v>paired_full</x:v>
      </x:c>
      <x:c r="B69" s="5" t="str">
        <x:v>development</x:v>
      </x:c>
      <x:c r="C69" s="5" t="str">
        <x:v>D3_FIDELITY</x:v>
      </x:c>
      <x:c r="D69" s="5" t="str">
        <x:v>process_method_gold_accuracy</x:v>
      </x:c>
      <x:c r="E69" s="5"/>
      <x:c r="F69" s="5"/>
      <x:c r="G69" s="10" t="str">
        <x:f>IF(COUNTBLANK(E69:F69)&gt;0,"N/A",IF(F69=0,"N/A",E69/F69))</x:f>
        <x:v>N/A</x:v>
      </x:c>
      <x:c r="H69" s="5" t="str">
        <x:v>Gold</x:v>
      </x:c>
      <x:c r="I69" s="5" t="n">
        <x:v>0</x:v>
      </x:c>
      <x:c r="J69" s="5" t="n">
        <x:v>0</x:v>
      </x:c>
      <x:c r="K69" s="5" t="str">
        <x:v>rate</x:v>
      </x:c>
      <x:c r="L69" s="5" t="str">
        <x:v>N/A: zero independent human Gold labels; AI must not be promoted to human truth</x:v>
      </x:c>
    </x:row>
    <x:row r="70" ht="20" hidden="0" customHeight="1">
      <x:c r="A70" s="5" t="str">
        <x:v>paired_full</x:v>
      </x:c>
      <x:c r="B70" s="5" t="str">
        <x:v>development</x:v>
      </x:c>
      <x:c r="C70" s="5" t="str">
        <x:v>D3_FIDELITY</x:v>
      </x:c>
      <x:c r="D70" s="5" t="str">
        <x:v>parameters_gold_accuracy</x:v>
      </x:c>
      <x:c r="E70" s="5"/>
      <x:c r="F70" s="5"/>
      <x:c r="G70" s="10" t="str">
        <x:f>IF(COUNTBLANK(E70:F70)&gt;0,"N/A",IF(F70=0,"N/A",E70/F70))</x:f>
        <x:v>N/A</x:v>
      </x:c>
      <x:c r="H70" s="5" t="str">
        <x:v>Gold</x:v>
      </x:c>
      <x:c r="I70" s="5" t="n">
        <x:v>0</x:v>
      </x:c>
      <x:c r="J70" s="5" t="n">
        <x:v>0</x:v>
      </x:c>
      <x:c r="K70" s="5" t="str">
        <x:v>rate</x:v>
      </x:c>
      <x:c r="L70" s="5" t="str">
        <x:v>N/A: zero independent human Gold labels; AI must not be promoted to human truth</x:v>
      </x:c>
    </x:row>
    <x:row r="71" ht="20" hidden="0" customHeight="1">
      <x:c r="A71" s="5" t="str">
        <x:v>paired_full</x:v>
      </x:c>
      <x:c r="B71" s="5" t="str">
        <x:v>development</x:v>
      </x:c>
      <x:c r="C71" s="5" t="str">
        <x:v>D3_FIDELITY</x:v>
      </x:c>
      <x:c r="D71" s="5" t="str">
        <x:v>multiple_contributions_gold_accuracy</x:v>
      </x:c>
      <x:c r="E71" s="5"/>
      <x:c r="F71" s="5"/>
      <x:c r="G71" s="10" t="str">
        <x:f>IF(COUNTBLANK(E71:F71)&gt;0,"N/A",IF(F71=0,"N/A",E71/F71))</x:f>
        <x:v>N/A</x:v>
      </x:c>
      <x:c r="H71" s="5" t="str">
        <x:v>Gold</x:v>
      </x:c>
      <x:c r="I71" s="5" t="n">
        <x:v>0</x:v>
      </x:c>
      <x:c r="J71" s="5" t="n">
        <x:v>0</x:v>
      </x:c>
      <x:c r="K71" s="5" t="str">
        <x:v>rate</x:v>
      </x:c>
      <x:c r="L71" s="5" t="str">
        <x:v>N/A: zero independent human Gold labels; AI must not be promoted to human truth</x:v>
      </x:c>
    </x:row>
    <x:row r="72" ht="20" hidden="0" customHeight="1">
      <x:c r="A72" s="5" t="str">
        <x:v>paired_full</x:v>
      </x:c>
      <x:c r="B72" s="5" t="str">
        <x:v>development</x:v>
      </x:c>
      <x:c r="C72" s="5" t="str">
        <x:v>D3_EVIDENCE</x:v>
      </x:c>
      <x:c r="D72" s="5" t="str">
        <x:v>technical_object_correct_rate</x:v>
      </x:c>
      <x:c r="E72" s="5" t="n">
        <x:v>91</x:v>
      </x:c>
      <x:c r="F72" s="5" t="n">
        <x:v>91</x:v>
      </x:c>
      <x:c r="G72" s="10" t="n">
        <x:f>IF(COUNTBLANK(E72:F72)&gt;0,"N/A",IF(F72=0,"N/A",E72/F72))</x:f>
        <x:v>1</x:v>
      </x:c>
      <x:c r="H72" s="5" t="str">
        <x:v>Silver</x:v>
      </x:c>
      <x:c r="I72" s="5" t="n">
        <x:v>95</x:v>
      </x:c>
      <x:c r="J72" s="5" t="n">
        <x:v>4</x:v>
      </x:c>
      <x:c r="K72" s="5" t="str">
        <x:v>rate</x:v>
      </x:c>
      <x:c r="L72" s="5" t="str">
        <x:v>Correct / {Correct,Partially Correct,Incorrect}; insufficient and uncertain excluded; same-model Silver</x:v>
      </x:c>
    </x:row>
    <x:row r="73" ht="20" hidden="0" customHeight="1">
      <x:c r="A73" s="5" t="str">
        <x:v>paired_full</x:v>
      </x:c>
      <x:c r="B73" s="5" t="str">
        <x:v>development</x:v>
      </x:c>
      <x:c r="C73" s="5" t="str">
        <x:v>D3_EVIDENCE</x:v>
      </x:c>
      <x:c r="D73" s="5" t="str">
        <x:v>technical_object_partially_correct_rate</x:v>
      </x:c>
      <x:c r="E73" s="5" t="n">
        <x:v>0</x:v>
      </x:c>
      <x:c r="F73" s="5" t="n">
        <x:v>91</x:v>
      </x:c>
      <x:c r="G73" s="10" t="n">
        <x:f>IF(COUNTBLANK(E73:F73)&gt;0,"N/A",IF(F73=0,"N/A",E73/F73))</x:f>
        <x:v>0</x:v>
      </x:c>
      <x:c r="H73" s="5" t="str">
        <x:v>Silver</x:v>
      </x:c>
      <x:c r="I73" s="5" t="n">
        <x:v>95</x:v>
      </x:c>
      <x:c r="J73" s="5" t="n">
        <x:v>4</x:v>
      </x:c>
      <x:c r="K73" s="5" t="str">
        <x:v>rate</x:v>
      </x:c>
      <x:c r="L73" s="5" t="str"/>
    </x:row>
    <x:row r="74" ht="20" hidden="0" customHeight="1">
      <x:c r="A74" s="5" t="str">
        <x:v>paired_full</x:v>
      </x:c>
      <x:c r="B74" s="5" t="str">
        <x:v>development</x:v>
      </x:c>
      <x:c r="C74" s="5" t="str">
        <x:v>D3_EVIDENCE</x:v>
      </x:c>
      <x:c r="D74" s="5" t="str">
        <x:v>technical_problem_correct_rate</x:v>
      </x:c>
      <x:c r="E74" s="5" t="n">
        <x:v>73</x:v>
      </x:c>
      <x:c r="F74" s="5" t="n">
        <x:v>74</x:v>
      </x:c>
      <x:c r="G74" s="10" t="n">
        <x:f>IF(COUNTBLANK(E74:F74)&gt;0,"N/A",IF(F74=0,"N/A",E74/F74))</x:f>
        <x:v>0.9864864864864865</x:v>
      </x:c>
      <x:c r="H74" s="5" t="str">
        <x:v>Silver</x:v>
      </x:c>
      <x:c r="I74" s="5" t="n">
        <x:v>95</x:v>
      </x:c>
      <x:c r="J74" s="5" t="n">
        <x:v>21</x:v>
      </x:c>
      <x:c r="K74" s="5" t="str">
        <x:v>rate</x:v>
      </x:c>
      <x:c r="L74" s="5" t="str">
        <x:v>Correct / {Correct,Partially Correct,Incorrect}; insufficient and uncertain excluded; same-model Silver</x:v>
      </x:c>
    </x:row>
    <x:row r="75" ht="20" hidden="0" customHeight="1">
      <x:c r="A75" s="5" t="str">
        <x:v>paired_full</x:v>
      </x:c>
      <x:c r="B75" s="5" t="str">
        <x:v>development</x:v>
      </x:c>
      <x:c r="C75" s="5" t="str">
        <x:v>D3_EVIDENCE</x:v>
      </x:c>
      <x:c r="D75" s="5" t="str">
        <x:v>technical_problem_partially_correct_rate</x:v>
      </x:c>
      <x:c r="E75" s="5" t="n">
        <x:v>1</x:v>
      </x:c>
      <x:c r="F75" s="5" t="n">
        <x:v>74</x:v>
      </x:c>
      <x:c r="G75" s="10" t="n">
        <x:f>IF(COUNTBLANK(E75:F75)&gt;0,"N/A",IF(F75=0,"N/A",E75/F75))</x:f>
        <x:v>0.013513513513513514</x:v>
      </x:c>
      <x:c r="H75" s="5" t="str">
        <x:v>Silver</x:v>
      </x:c>
      <x:c r="I75" s="5" t="n">
        <x:v>95</x:v>
      </x:c>
      <x:c r="J75" s="5" t="n">
        <x:v>21</x:v>
      </x:c>
      <x:c r="K75" s="5" t="str">
        <x:v>rate</x:v>
      </x:c>
      <x:c r="L75" s="5" t="str"/>
    </x:row>
    <x:row r="76" ht="20" hidden="0" customHeight="1">
      <x:c r="A76" s="5" t="str">
        <x:v>paired_full</x:v>
      </x:c>
      <x:c r="B76" s="5" t="str">
        <x:v>development</x:v>
      </x:c>
      <x:c r="C76" s="5" t="str">
        <x:v>D3_EVIDENCE</x:v>
      </x:c>
      <x:c r="D76" s="5" t="str">
        <x:v>technical_mechanism_correct_rate</x:v>
      </x:c>
      <x:c r="E76" s="5" t="n">
        <x:v>82</x:v>
      </x:c>
      <x:c r="F76" s="5" t="n">
        <x:v>86</x:v>
      </x:c>
      <x:c r="G76" s="10" t="n">
        <x:f>IF(COUNTBLANK(E76:F76)&gt;0,"N/A",IF(F76=0,"N/A",E76/F76))</x:f>
        <x:v>0.9534883720930233</x:v>
      </x:c>
      <x:c r="H76" s="5" t="str">
        <x:v>Silver</x:v>
      </x:c>
      <x:c r="I76" s="5" t="n">
        <x:v>95</x:v>
      </x:c>
      <x:c r="J76" s="5" t="n">
        <x:v>9</x:v>
      </x:c>
      <x:c r="K76" s="5" t="str">
        <x:v>rate</x:v>
      </x:c>
      <x:c r="L76" s="5" t="str">
        <x:v>Correct / {Correct,Partially Correct,Incorrect}; insufficient and uncertain excluded; same-model Silver</x:v>
      </x:c>
    </x:row>
    <x:row r="77" ht="20" hidden="0" customHeight="1">
      <x:c r="A77" s="5" t="str">
        <x:v>paired_full</x:v>
      </x:c>
      <x:c r="B77" s="5" t="str">
        <x:v>development</x:v>
      </x:c>
      <x:c r="C77" s="5" t="str">
        <x:v>D3_EVIDENCE</x:v>
      </x:c>
      <x:c r="D77" s="5" t="str">
        <x:v>technical_mechanism_partially_correct_rate</x:v>
      </x:c>
      <x:c r="E77" s="5" t="n">
        <x:v>4</x:v>
      </x:c>
      <x:c r="F77" s="5" t="n">
        <x:v>86</x:v>
      </x:c>
      <x:c r="G77" s="10" t="n">
        <x:f>IF(COUNTBLANK(E77:F77)&gt;0,"N/A",IF(F77=0,"N/A",E77/F77))</x:f>
        <x:v>0.046511627906976744</x:v>
      </x:c>
      <x:c r="H77" s="5" t="str">
        <x:v>Silver</x:v>
      </x:c>
      <x:c r="I77" s="5" t="n">
        <x:v>95</x:v>
      </x:c>
      <x:c r="J77" s="5" t="n">
        <x:v>9</x:v>
      </x:c>
      <x:c r="K77" s="5" t="str">
        <x:v>rate</x:v>
      </x:c>
      <x:c r="L77" s="5" t="str"/>
    </x:row>
    <x:row r="78" ht="20" hidden="0" customHeight="1">
      <x:c r="A78" s="5" t="str">
        <x:v>paired_full</x:v>
      </x:c>
      <x:c r="B78" s="5" t="str">
        <x:v>development</x:v>
      </x:c>
      <x:c r="C78" s="5" t="str">
        <x:v>D3_EVIDENCE</x:v>
      </x:c>
      <x:c r="D78" s="5" t="str">
        <x:v>materials_correct_rate</x:v>
      </x:c>
      <x:c r="E78" s="5" t="n">
        <x:v>54</x:v>
      </x:c>
      <x:c r="F78" s="5" t="n">
        <x:v>73</x:v>
      </x:c>
      <x:c r="G78" s="10" t="n">
        <x:f>IF(COUNTBLANK(E78:F78)&gt;0,"N/A",IF(F78=0,"N/A",E78/F78))</x:f>
        <x:v>0.7397260273972602</x:v>
      </x:c>
      <x:c r="H78" s="5" t="str">
        <x:v>Silver</x:v>
      </x:c>
      <x:c r="I78" s="5" t="n">
        <x:v>95</x:v>
      </x:c>
      <x:c r="J78" s="5" t="n">
        <x:v>22</x:v>
      </x:c>
      <x:c r="K78" s="5" t="str">
        <x:v>rate</x:v>
      </x:c>
      <x:c r="L78" s="5" t="str">
        <x:v>Correct / {Correct,Partially Correct,Incorrect}; insufficient and uncertain excluded; same-model Silver</x:v>
      </x:c>
    </x:row>
    <x:row r="79" ht="20" hidden="0" customHeight="1">
      <x:c r="A79" s="5" t="str">
        <x:v>paired_full</x:v>
      </x:c>
      <x:c r="B79" s="5" t="str">
        <x:v>development</x:v>
      </x:c>
      <x:c r="C79" s="5" t="str">
        <x:v>D3_EVIDENCE</x:v>
      </x:c>
      <x:c r="D79" s="5" t="str">
        <x:v>materials_partially_correct_rate</x:v>
      </x:c>
      <x:c r="E79" s="5" t="n">
        <x:v>19</x:v>
      </x:c>
      <x:c r="F79" s="5" t="n">
        <x:v>73</x:v>
      </x:c>
      <x:c r="G79" s="10" t="n">
        <x:f>IF(COUNTBLANK(E79:F79)&gt;0,"N/A",IF(F79=0,"N/A",E79/F79))</x:f>
        <x:v>0.2602739726027397</x:v>
      </x:c>
      <x:c r="H79" s="5" t="str">
        <x:v>Silver</x:v>
      </x:c>
      <x:c r="I79" s="5" t="n">
        <x:v>95</x:v>
      </x:c>
      <x:c r="J79" s="5" t="n">
        <x:v>22</x:v>
      </x:c>
      <x:c r="K79" s="5" t="str">
        <x:v>rate</x:v>
      </x:c>
      <x:c r="L79" s="5" t="str"/>
    </x:row>
    <x:row r="80" ht="20" hidden="0" customHeight="1">
      <x:c r="A80" s="5" t="str">
        <x:v>paired_full</x:v>
      </x:c>
      <x:c r="B80" s="5" t="str">
        <x:v>development</x:v>
      </x:c>
      <x:c r="C80" s="5" t="str">
        <x:v>D3_EVIDENCE</x:v>
      </x:c>
      <x:c r="D80" s="5" t="str">
        <x:v>process_method_correct_rate</x:v>
      </x:c>
      <x:c r="E80" s="5" t="n">
        <x:v>55</x:v>
      </x:c>
      <x:c r="F80" s="5" t="n">
        <x:v>63</x:v>
      </x:c>
      <x:c r="G80" s="10" t="n">
        <x:f>IF(COUNTBLANK(E80:F80)&gt;0,"N/A",IF(F80=0,"N/A",E80/F80))</x:f>
        <x:v>0.873015873015873</x:v>
      </x:c>
      <x:c r="H80" s="5" t="str">
        <x:v>Silver</x:v>
      </x:c>
      <x:c r="I80" s="5" t="n">
        <x:v>95</x:v>
      </x:c>
      <x:c r="J80" s="5" t="n">
        <x:v>32</x:v>
      </x:c>
      <x:c r="K80" s="5" t="str">
        <x:v>rate</x:v>
      </x:c>
      <x:c r="L80" s="5" t="str">
        <x:v>Correct / {Correct,Partially Correct,Incorrect}; insufficient and uncertain excluded; same-model Silver</x:v>
      </x:c>
    </x:row>
    <x:row r="81" ht="20" hidden="0" customHeight="1">
      <x:c r="A81" s="5" t="str">
        <x:v>paired_full</x:v>
      </x:c>
      <x:c r="B81" s="5" t="str">
        <x:v>development</x:v>
      </x:c>
      <x:c r="C81" s="5" t="str">
        <x:v>D3_EVIDENCE</x:v>
      </x:c>
      <x:c r="D81" s="5" t="str">
        <x:v>process_method_partially_correct_rate</x:v>
      </x:c>
      <x:c r="E81" s="5" t="n">
        <x:v>8</x:v>
      </x:c>
      <x:c r="F81" s="5" t="n">
        <x:v>63</x:v>
      </x:c>
      <x:c r="G81" s="10" t="n">
        <x:f>IF(COUNTBLANK(E81:F81)&gt;0,"N/A",IF(F81=0,"N/A",E81/F81))</x:f>
        <x:v>0.12698412698412698</x:v>
      </x:c>
      <x:c r="H81" s="5" t="str">
        <x:v>Silver</x:v>
      </x:c>
      <x:c r="I81" s="5" t="n">
        <x:v>95</x:v>
      </x:c>
      <x:c r="J81" s="5" t="n">
        <x:v>32</x:v>
      </x:c>
      <x:c r="K81" s="5" t="str">
        <x:v>rate</x:v>
      </x:c>
      <x:c r="L81" s="5" t="str"/>
    </x:row>
    <x:row r="82" ht="20" hidden="0" customHeight="1">
      <x:c r="A82" s="5" t="str">
        <x:v>paired_full</x:v>
      </x:c>
      <x:c r="B82" s="5" t="str">
        <x:v>development</x:v>
      </x:c>
      <x:c r="C82" s="5" t="str">
        <x:v>D3_EVIDENCE</x:v>
      </x:c>
      <x:c r="D82" s="5" t="str">
        <x:v>process_order_correct_rate</x:v>
      </x:c>
      <x:c r="E82" s="5" t="n">
        <x:v>21</x:v>
      </x:c>
      <x:c r="F82" s="5" t="n">
        <x:v>27</x:v>
      </x:c>
      <x:c r="G82" s="10" t="n">
        <x:f>IF(COUNTBLANK(E82:F82)&gt;0,"N/A",IF(F82=0,"N/A",E82/F82))</x:f>
        <x:v>0.7777777777777778</x:v>
      </x:c>
      <x:c r="H82" s="5" t="str">
        <x:v>Silver</x:v>
      </x:c>
      <x:c r="I82" s="5" t="n">
        <x:v>95</x:v>
      </x:c>
      <x:c r="J82" s="5" t="n">
        <x:v>68</x:v>
      </x:c>
      <x:c r="K82" s="5" t="str">
        <x:v>rate</x:v>
      </x:c>
      <x:c r="L82" s="5" t="str">
        <x:v>Correct / {Correct,Partially Correct,Incorrect}; insufficient and uncertain excluded; same-model Silver</x:v>
      </x:c>
    </x:row>
    <x:row r="83" ht="20" hidden="0" customHeight="1">
      <x:c r="A83" s="5" t="str">
        <x:v>paired_full</x:v>
      </x:c>
      <x:c r="B83" s="5" t="str">
        <x:v>development</x:v>
      </x:c>
      <x:c r="C83" s="5" t="str">
        <x:v>D3_EVIDENCE</x:v>
      </x:c>
      <x:c r="D83" s="5" t="str">
        <x:v>process_order_partially_correct_rate</x:v>
      </x:c>
      <x:c r="E83" s="5" t="n">
        <x:v>6</x:v>
      </x:c>
      <x:c r="F83" s="5" t="n">
        <x:v>27</x:v>
      </x:c>
      <x:c r="G83" s="10" t="n">
        <x:f>IF(COUNTBLANK(E83:F83)&gt;0,"N/A",IF(F83=0,"N/A",E83/F83))</x:f>
        <x:v>0.2222222222222222</x:v>
      </x:c>
      <x:c r="H83" s="5" t="str">
        <x:v>Silver</x:v>
      </x:c>
      <x:c r="I83" s="5" t="n">
        <x:v>95</x:v>
      </x:c>
      <x:c r="J83" s="5" t="n">
        <x:v>68</x:v>
      </x:c>
      <x:c r="K83" s="5" t="str">
        <x:v>rate</x:v>
      </x:c>
      <x:c r="L83" s="5" t="str"/>
    </x:row>
    <x:row r="84" ht="20" hidden="0" customHeight="1">
      <x:c r="A84" s="5" t="str">
        <x:v>paired_full</x:v>
      </x:c>
      <x:c r="B84" s="5" t="str">
        <x:v>development</x:v>
      </x:c>
      <x:c r="C84" s="5" t="str">
        <x:v>D3_EVIDENCE</x:v>
      </x:c>
      <x:c r="D84" s="5" t="str">
        <x:v>parameters_correct_rate</x:v>
      </x:c>
      <x:c r="E84" s="5" t="n">
        <x:v>42</x:v>
      </x:c>
      <x:c r="F84" s="5" t="n">
        <x:v>47</x:v>
      </x:c>
      <x:c r="G84" s="10" t="n">
        <x:f>IF(COUNTBLANK(E84:F84)&gt;0,"N/A",IF(F84=0,"N/A",E84/F84))</x:f>
        <x:v>0.8936170212765957</x:v>
      </x:c>
      <x:c r="H84" s="5" t="str">
        <x:v>Silver</x:v>
      </x:c>
      <x:c r="I84" s="5" t="n">
        <x:v>95</x:v>
      </x:c>
      <x:c r="J84" s="5" t="n">
        <x:v>48</x:v>
      </x:c>
      <x:c r="K84" s="5" t="str">
        <x:v>rate</x:v>
      </x:c>
      <x:c r="L84" s="5" t="str">
        <x:v>Correct / {Correct,Partially Correct,Incorrect}; insufficient and uncertain excluded; same-model Silver</x:v>
      </x:c>
    </x:row>
    <x:row r="85" ht="20" hidden="0" customHeight="1">
      <x:c r="A85" s="5" t="str">
        <x:v>paired_full</x:v>
      </x:c>
      <x:c r="B85" s="5" t="str">
        <x:v>development</x:v>
      </x:c>
      <x:c r="C85" s="5" t="str">
        <x:v>D3_EVIDENCE</x:v>
      </x:c>
      <x:c r="D85" s="5" t="str">
        <x:v>parameters_partially_correct_rate</x:v>
      </x:c>
      <x:c r="E85" s="5" t="n">
        <x:v>5</x:v>
      </x:c>
      <x:c r="F85" s="5" t="n">
        <x:v>47</x:v>
      </x:c>
      <x:c r="G85" s="10" t="n">
        <x:f>IF(COUNTBLANK(E85:F85)&gt;0,"N/A",IF(F85=0,"N/A",E85/F85))</x:f>
        <x:v>0.10638297872340426</x:v>
      </x:c>
      <x:c r="H85" s="5" t="str">
        <x:v>Silver</x:v>
      </x:c>
      <x:c r="I85" s="5" t="n">
        <x:v>95</x:v>
      </x:c>
      <x:c r="J85" s="5" t="n">
        <x:v>48</x:v>
      </x:c>
      <x:c r="K85" s="5" t="str">
        <x:v>rate</x:v>
      </x:c>
      <x:c r="L85" s="5" t="str"/>
    </x:row>
    <x:row r="86" ht="20" hidden="0" customHeight="1">
      <x:c r="A86" s="5" t="str">
        <x:v>paired_full</x:v>
      </x:c>
      <x:c r="B86" s="5" t="str">
        <x:v>development</x:v>
      </x:c>
      <x:c r="C86" s="5" t="str">
        <x:v>D3_EVIDENCE</x:v>
      </x:c>
      <x:c r="D86" s="5" t="str">
        <x:v>effects_correct_rate</x:v>
      </x:c>
      <x:c r="E86" s="5" t="n">
        <x:v>76</x:v>
      </x:c>
      <x:c r="F86" s="5" t="n">
        <x:v>77</x:v>
      </x:c>
      <x:c r="G86" s="10" t="n">
        <x:f>IF(COUNTBLANK(E86:F86)&gt;0,"N/A",IF(F86=0,"N/A",E86/F86))</x:f>
        <x:v>0.987012987012987</x:v>
      </x:c>
      <x:c r="H86" s="5" t="str">
        <x:v>Silver</x:v>
      </x:c>
      <x:c r="I86" s="5" t="n">
        <x:v>95</x:v>
      </x:c>
      <x:c r="J86" s="5" t="n">
        <x:v>18</x:v>
      </x:c>
      <x:c r="K86" s="5" t="str">
        <x:v>rate</x:v>
      </x:c>
      <x:c r="L86" s="5" t="str">
        <x:v>Correct / {Correct,Partially Correct,Incorrect}; insufficient and uncertain excluded; same-model Silver</x:v>
      </x:c>
    </x:row>
    <x:row r="87" ht="20" hidden="0" customHeight="1">
      <x:c r="A87" s="5" t="str">
        <x:v>paired_full</x:v>
      </x:c>
      <x:c r="B87" s="5" t="str">
        <x:v>development</x:v>
      </x:c>
      <x:c r="C87" s="5" t="str">
        <x:v>D3_EVIDENCE</x:v>
      </x:c>
      <x:c r="D87" s="5" t="str">
        <x:v>effects_partially_correct_rate</x:v>
      </x:c>
      <x:c r="E87" s="5" t="n">
        <x:v>1</x:v>
      </x:c>
      <x:c r="F87" s="5" t="n">
        <x:v>77</x:v>
      </x:c>
      <x:c r="G87" s="10" t="n">
        <x:f>IF(COUNTBLANK(E87:F87)&gt;0,"N/A",IF(F87=0,"N/A",E87/F87))</x:f>
        <x:v>0.012987012987012988</x:v>
      </x:c>
      <x:c r="H87" s="5" t="str">
        <x:v>Silver</x:v>
      </x:c>
      <x:c r="I87" s="5" t="n">
        <x:v>95</x:v>
      </x:c>
      <x:c r="J87" s="5" t="n">
        <x:v>18</x:v>
      </x:c>
      <x:c r="K87" s="5" t="str">
        <x:v>rate</x:v>
      </x:c>
      <x:c r="L87" s="5" t="str"/>
    </x:row>
    <x:row r="88" ht="20" hidden="0" customHeight="1">
      <x:c r="A88" s="5" t="str">
        <x:v>paired_full</x:v>
      </x:c>
      <x:c r="B88" s="5" t="str">
        <x:v>development</x:v>
      </x:c>
      <x:c r="C88" s="5" t="str">
        <x:v>D3_EVIDENCE</x:v>
      </x:c>
      <x:c r="D88" s="5" t="str">
        <x:v>multiple_contributions_correct_rate</x:v>
      </x:c>
      <x:c r="E88" s="5" t="n">
        <x:v>84</x:v>
      </x:c>
      <x:c r="F88" s="5" t="n">
        <x:v>89</x:v>
      </x:c>
      <x:c r="G88" s="10" t="n">
        <x:f>IF(COUNTBLANK(E88:F88)&gt;0,"N/A",IF(F88=0,"N/A",E88/F88))</x:f>
        <x:v>0.9438202247191011</x:v>
      </x:c>
      <x:c r="H88" s="5" t="str">
        <x:v>Silver</x:v>
      </x:c>
      <x:c r="I88" s="5" t="n">
        <x:v>95</x:v>
      </x:c>
      <x:c r="J88" s="5" t="n">
        <x:v>6</x:v>
      </x:c>
      <x:c r="K88" s="5" t="str">
        <x:v>rate</x:v>
      </x:c>
      <x:c r="L88" s="5" t="str">
        <x:v>Correct / {Correct,Partially Correct,Incorrect}; insufficient and uncertain excluded; same-model Silver</x:v>
      </x:c>
    </x:row>
    <x:row r="89" ht="20" hidden="0" customHeight="1">
      <x:c r="A89" s="5" t="str">
        <x:v>paired_full</x:v>
      </x:c>
      <x:c r="B89" s="5" t="str">
        <x:v>development</x:v>
      </x:c>
      <x:c r="C89" s="5" t="str">
        <x:v>D3_EVIDENCE</x:v>
      </x:c>
      <x:c r="D89" s="5" t="str">
        <x:v>multiple_contributions_partially_correct_rate</x:v>
      </x:c>
      <x:c r="E89" s="5" t="n">
        <x:v>5</x:v>
      </x:c>
      <x:c r="F89" s="5" t="n">
        <x:v>89</x:v>
      </x:c>
      <x:c r="G89" s="10" t="n">
        <x:f>IF(COUNTBLANK(E89:F89)&gt;0,"N/A",IF(F89=0,"N/A",E89/F89))</x:f>
        <x:v>0.056179775280898875</x:v>
      </x:c>
      <x:c r="H89" s="5" t="str">
        <x:v>Silver</x:v>
      </x:c>
      <x:c r="I89" s="5" t="n">
        <x:v>95</x:v>
      </x:c>
      <x:c r="J89" s="5" t="n">
        <x:v>6</x:v>
      </x:c>
      <x:c r="K89" s="5" t="str">
        <x:v>rate</x:v>
      </x:c>
      <x:c r="L89" s="5" t="str"/>
    </x:row>
    <x:row r="90" ht="20" hidden="0" customHeight="1">
      <x:c r="A90" s="5" t="str">
        <x:v>paired_full</x:v>
      </x:c>
      <x:c r="B90" s="5" t="str">
        <x:v>development</x:v>
      </x:c>
      <x:c r="C90" s="5" t="str">
        <x:v>D3_EVIDENCE</x:v>
      </x:c>
      <x:c r="D90" s="5" t="str">
        <x:v>hallucination_correct_rate</x:v>
      </x:c>
      <x:c r="E90" s="5" t="n">
        <x:v>95</x:v>
      </x:c>
      <x:c r="F90" s="5" t="n">
        <x:v>95</x:v>
      </x:c>
      <x:c r="G90" s="10" t="n">
        <x:f>IF(COUNTBLANK(E90:F90)&gt;0,"N/A",IF(F90=0,"N/A",E90/F90))</x:f>
        <x:v>1</x:v>
      </x:c>
      <x:c r="H90" s="5" t="str">
        <x:v>Silver</x:v>
      </x:c>
      <x:c r="I90" s="5" t="n">
        <x:v>95</x:v>
      </x:c>
      <x:c r="J90" s="5" t="n">
        <x:v>0</x:v>
      </x:c>
      <x:c r="K90" s="5" t="str">
        <x:v>rate</x:v>
      </x:c>
      <x:c r="L90" s="5" t="str">
        <x:v>Correct / {Correct,Partially Correct,Incorrect}; insufficient and uncertain excluded; same-model Silver</x:v>
      </x:c>
    </x:row>
    <x:row r="91" ht="20" hidden="0" customHeight="1">
      <x:c r="A91" s="5" t="str">
        <x:v>paired_full</x:v>
      </x:c>
      <x:c r="B91" s="5" t="str">
        <x:v>development</x:v>
      </x:c>
      <x:c r="C91" s="5" t="str">
        <x:v>D3_EVIDENCE</x:v>
      </x:c>
      <x:c r="D91" s="5" t="str">
        <x:v>hallucination_partially_correct_rate</x:v>
      </x:c>
      <x:c r="E91" s="5" t="n">
        <x:v>0</x:v>
      </x:c>
      <x:c r="F91" s="5" t="n">
        <x:v>95</x:v>
      </x:c>
      <x:c r="G91" s="10" t="n">
        <x:f>IF(COUNTBLANK(E91:F91)&gt;0,"N/A",IF(F91=0,"N/A",E91/F91))</x:f>
        <x:v>0</x:v>
      </x:c>
      <x:c r="H91" s="5" t="str">
        <x:v>Silver</x:v>
      </x:c>
      <x:c r="I91" s="5" t="n">
        <x:v>95</x:v>
      </x:c>
      <x:c r="J91" s="5" t="n">
        <x:v>0</x:v>
      </x:c>
      <x:c r="K91" s="5" t="str">
        <x:v>rate</x:v>
      </x:c>
      <x:c r="L91" s="5" t="str"/>
    </x:row>
    <x:row r="92" ht="31" hidden="0" customHeight="1">
      <x:c r="A92" s="5" t="str">
        <x:v>paired_full</x:v>
      </x:c>
      <x:c r="B92" s="5" t="str">
        <x:v>development</x:v>
      </x:c>
      <x:c r="C92" s="5" t="str">
        <x:v>D3_EVIDENCE</x:v>
      </x:c>
      <x:c r="D92" s="5" t="str">
        <x:v>contribution_coverage</x:v>
      </x:c>
      <x:c r="E92" s="5" t="n">
        <x:v>99</x:v>
      </x:c>
      <x:c r="F92" s="5" t="n">
        <x:v>100</x:v>
      </x:c>
      <x:c r="G92" s="10" t="n">
        <x:f>IF(COUNTBLANK(E92:F92)&gt;0,"N/A",IF(F92=0,"N/A",E92/F92))</x:f>
        <x:v>0.99</x:v>
      </x:c>
      <x:c r="H92" s="5" t="str">
        <x:v>Silver</x:v>
      </x:c>
      <x:c r="I92" s="5" t="n">
        <x:v>95</x:v>
      </x:c>
      <x:c r="J92" s="5" t="n">
        <x:v>9</x:v>
      </x:c>
      <x:c r="K92" s="5" t="str">
        <x:v>rate</x:v>
      </x:c>
      <x:c r="L92" s="5" t="str">
        <x:v>Source-reference denominators required consistent across matched configs; disagreements/zero applicability excluded</x:v>
      </x:c>
    </x:row>
    <x:row r="93" ht="31" hidden="0" customHeight="1">
      <x:c r="A93" s="5" t="str">
        <x:v>paired_full</x:v>
      </x:c>
      <x:c r="B93" s="5" t="str">
        <x:v>development</x:v>
      </x:c>
      <x:c r="C93" s="5" t="str">
        <x:v>D3_EVIDENCE</x:v>
      </x:c>
      <x:c r="D93" s="5" t="str">
        <x:v>material_retention</x:v>
      </x:c>
      <x:c r="E93" s="5" t="n">
        <x:v>179</x:v>
      </x:c>
      <x:c r="F93" s="5" t="n">
        <x:v>180</x:v>
      </x:c>
      <x:c r="G93" s="10" t="n">
        <x:f>IF(COUNTBLANK(E93:F93)&gt;0,"N/A",IF(F93=0,"N/A",E93/F93))</x:f>
        <x:v>0.9944444444444445</x:v>
      </x:c>
      <x:c r="H93" s="5" t="str">
        <x:v>Silver</x:v>
      </x:c>
      <x:c r="I93" s="5" t="n">
        <x:v>95</x:v>
      </x:c>
      <x:c r="J93" s="5" t="n">
        <x:v>28</x:v>
      </x:c>
      <x:c r="K93" s="5" t="str">
        <x:v>rate</x:v>
      </x:c>
      <x:c r="L93" s="5" t="str">
        <x:v>Source-reference denominators required consistent across matched configs; disagreements/zero applicability excluded</x:v>
      </x:c>
    </x:row>
    <x:row r="94" ht="31" hidden="0" customHeight="1">
      <x:c r="A94" s="5" t="str">
        <x:v>paired_full</x:v>
      </x:c>
      <x:c r="B94" s="5" t="str">
        <x:v>development</x:v>
      </x:c>
      <x:c r="C94" s="5" t="str">
        <x:v>D3_EVIDENCE</x:v>
      </x:c>
      <x:c r="D94" s="5" t="str">
        <x:v>process_retention</x:v>
      </x:c>
      <x:c r="E94" s="5" t="n">
        <x:v>151</x:v>
      </x:c>
      <x:c r="F94" s="5" t="n">
        <x:v>151</x:v>
      </x:c>
      <x:c r="G94" s="10" t="n">
        <x:f>IF(COUNTBLANK(E94:F94)&gt;0,"N/A",IF(F94=0,"N/A",E94/F94))</x:f>
        <x:v>1</x:v>
      </x:c>
      <x:c r="H94" s="5" t="str">
        <x:v>Silver</x:v>
      </x:c>
      <x:c r="I94" s="5" t="n">
        <x:v>95</x:v>
      </x:c>
      <x:c r="J94" s="5" t="n">
        <x:v>36</x:v>
      </x:c>
      <x:c r="K94" s="5" t="str">
        <x:v>rate</x:v>
      </x:c>
      <x:c r="L94" s="5" t="str">
        <x:v>Source-reference denominators required consistent across matched configs; disagreements/zero applicability excluded</x:v>
      </x:c>
    </x:row>
    <x:row r="95" ht="20" hidden="0" customHeight="1">
      <x:c r="A95" s="5" t="str">
        <x:v>paired_full</x:v>
      </x:c>
      <x:c r="B95" s="5" t="str">
        <x:v>development</x:v>
      </x:c>
      <x:c r="C95" s="5" t="str">
        <x:v>D3_EVIDENCE</x:v>
      </x:c>
      <x:c r="D95" s="5" t="str">
        <x:v>multi_contribution_omission_rate</x:v>
      </x:c>
      <x:c r="E95" s="5" t="n">
        <x:v>1</x:v>
      </x:c>
      <x:c r="F95" s="5" t="n">
        <x:v>10</x:v>
      </x:c>
      <x:c r="G95" s="10" t="n">
        <x:f>IF(COUNTBLANK(E95:F95)&gt;0,"N/A",IF(F95=0,"N/A",E95/F95))</x:f>
        <x:v>0.1</x:v>
      </x:c>
      <x:c r="H95" s="5" t="str">
        <x:v>Silver</x:v>
      </x:c>
      <x:c r="I95" s="5" t="n">
        <x:v>95</x:v>
      </x:c>
      <x:c r="J95" s="5" t="n">
        <x:v>85</x:v>
      </x:c>
      <x:c r="K95" s="5" t="str">
        <x:v>rate</x:v>
      </x:c>
      <x:c r="L95" s="5" t="str"/>
    </x:row>
    <x:row r="96" ht="20" hidden="0" customHeight="1">
      <x:c r="A96" s="5" t="str">
        <x:v>paired_full</x:v>
      </x:c>
      <x:c r="B96" s="5" t="str">
        <x:v>development</x:v>
      </x:c>
      <x:c r="C96" s="5" t="str">
        <x:v>D3_EVIDENCE</x:v>
      </x:c>
      <x:c r="D96" s="5" t="str">
        <x:v>full_conclusion_support_rate</x:v>
      </x:c>
      <x:c r="E96" s="5" t="n">
        <x:v>87</x:v>
      </x:c>
      <x:c r="F96" s="5" t="n">
        <x:v>87</x:v>
      </x:c>
      <x:c r="G96" s="10" t="n">
        <x:f>IF(COUNTBLANK(E96:F96)&gt;0,"N/A",IF(F96=0,"N/A",E96/F96))</x:f>
        <x:v>1</x:v>
      </x:c>
      <x:c r="H96" s="5" t="str">
        <x:v>Silver</x:v>
      </x:c>
      <x:c r="I96" s="5" t="n">
        <x:v>95</x:v>
      </x:c>
      <x:c r="J96" s="5" t="n">
        <x:v>8</x:v>
      </x:c>
      <x:c r="K96" s="5" t="str">
        <x:v>rate</x:v>
      </x:c>
      <x:c r="L96" s="5" t="str"/>
    </x:row>
    <x:row r="97" ht="20" hidden="0" customHeight="1">
      <x:c r="A97" s="5" t="str">
        <x:v>paired_full</x:v>
      </x:c>
      <x:c r="B97" s="5" t="str">
        <x:v>development</x:v>
      </x:c>
      <x:c r="C97" s="5" t="str">
        <x:v>D3_EVIDENCE</x:v>
      </x:c>
      <x:c r="D97" s="5" t="str">
        <x:v>mean_contributions_per_family</x:v>
      </x:c>
      <x:c r="E97" s="5" t="n">
        <x:v>98</x:v>
      </x:c>
      <x:c r="F97" s="5" t="n">
        <x:v>95</x:v>
      </x:c>
      <x:c r="G97" s="11" t="n">
        <x:f>IF(COUNTBLANK(E97:F97)&gt;0,"N/A",IF(F97=0,"N/A",E97/F97))</x:f>
        <x:v>1.0315789473684212</x:v>
      </x:c>
      <x:c r="H97" s="5" t="str">
        <x:v>Silver</x:v>
      </x:c>
      <x:c r="I97" s="5" t="n">
        <x:v>95</x:v>
      </x:c>
      <x:c r="J97" s="5" t="n">
        <x:v>0</x:v>
      </x:c>
      <x:c r="K97" s="5" t="str">
        <x:v>contributions/family</x:v>
      </x:c>
      <x:c r="L97" s="5" t="str"/>
    </x:row>
    <x:row r="98" ht="20" hidden="0" customHeight="1">
      <x:c r="A98" s="5" t="str">
        <x:v>paired_full</x:v>
      </x:c>
      <x:c r="B98" s="5" t="str">
        <x:v>development</x:v>
      </x:c>
      <x:c r="C98" s="5" t="str">
        <x:v>D3_EVIDENCE</x:v>
      </x:c>
      <x:c r="D98" s="5" t="str">
        <x:v>oversplit_contribution_rate</x:v>
      </x:c>
      <x:c r="E98" s="5" t="n">
        <x:v>2</x:v>
      </x:c>
      <x:c r="F98" s="5" t="n">
        <x:v>98</x:v>
      </x:c>
      <x:c r="G98" s="10" t="n">
        <x:f>IF(COUNTBLANK(E98:F98)&gt;0,"N/A",IF(F98=0,"N/A",E98/F98))</x:f>
        <x:v>0.02040816326530612</x:v>
      </x:c>
      <x:c r="H98" s="5" t="str">
        <x:v>Silver</x:v>
      </x:c>
      <x:c r="I98" s="5" t="n">
        <x:v>95</x:v>
      </x:c>
      <x:c r="J98" s="5" t="n">
        <x:v>0</x:v>
      </x:c>
      <x:c r="K98" s="5" t="str">
        <x:v>rate</x:v>
      </x:c>
      <x:c r="L98" s="5" t="str">
        <x:v>Auditor oversplit units / actual explicit output units; not a human error rate</x:v>
      </x:c>
    </x:row>
    <x:row r="99" ht="20" hidden="0" customHeight="1">
      <x:c r="A99" s="5" t="str">
        <x:v>paired_full</x:v>
      </x:c>
      <x:c r="B99" s="5" t="str">
        <x:v>development</x:v>
      </x:c>
      <x:c r="C99" s="5" t="str">
        <x:v>D3_EVIDENCE</x:v>
      </x:c>
      <x:c r="D99" s="5" t="str">
        <x:v>hallucinated_contribution_rate</x:v>
      </x:c>
      <x:c r="E99" s="5" t="n">
        <x:v>0</x:v>
      </x:c>
      <x:c r="F99" s="5" t="n">
        <x:v>98</x:v>
      </x:c>
      <x:c r="G99" s="10" t="n">
        <x:f>IF(COUNTBLANK(E99:F99)&gt;0,"N/A",IF(F99=0,"N/A",E99/F99))</x:f>
        <x:v>0</x:v>
      </x:c>
      <x:c r="H99" s="5" t="str">
        <x:v>Silver</x:v>
      </x:c>
      <x:c r="I99" s="5" t="n">
        <x:v>95</x:v>
      </x:c>
      <x:c r="J99" s="5" t="n">
        <x:v>0</x:v>
      </x:c>
      <x:c r="K99" s="5" t="str">
        <x:v>rate</x:v>
      </x:c>
      <x:c r="L99" s="5" t="str"/>
    </x:row>
    <x:row r="100" ht="20" hidden="0" customHeight="1">
      <x:c r="A100" s="5" t="str">
        <x:v>paired_full</x:v>
      </x:c>
      <x:c r="B100" s="5" t="str">
        <x:v>development</x:v>
      </x:c>
      <x:c r="C100" s="5" t="str">
        <x:v>D3_EVIDENCE</x:v>
      </x:c>
      <x:c r="D100" s="5" t="str">
        <x:v>technical_mechanism_gold_accuracy</x:v>
      </x:c>
      <x:c r="E100" s="5"/>
      <x:c r="F100" s="5"/>
      <x:c r="G100" s="10" t="str">
        <x:f>IF(COUNTBLANK(E100:F100)&gt;0,"N/A",IF(F100=0,"N/A",E100/F100))</x:f>
        <x:v>N/A</x:v>
      </x:c>
      <x:c r="H100" s="5" t="str">
        <x:v>Gold</x:v>
      </x:c>
      <x:c r="I100" s="5" t="n">
        <x:v>0</x:v>
      </x:c>
      <x:c r="J100" s="5" t="n">
        <x:v>0</x:v>
      </x:c>
      <x:c r="K100" s="5" t="str">
        <x:v>rate</x:v>
      </x:c>
      <x:c r="L100" s="5" t="str">
        <x:v>N/A: zero independent human Gold labels; AI must not be promoted to human truth</x:v>
      </x:c>
    </x:row>
    <x:row r="101" ht="20" hidden="0" customHeight="1">
      <x:c r="A101" s="5" t="str">
        <x:v>paired_full</x:v>
      </x:c>
      <x:c r="B101" s="5" t="str">
        <x:v>development</x:v>
      </x:c>
      <x:c r="C101" s="5" t="str">
        <x:v>D3_EVIDENCE</x:v>
      </x:c>
      <x:c r="D101" s="5" t="str">
        <x:v>materials_gold_accuracy</x:v>
      </x:c>
      <x:c r="E101" s="5"/>
      <x:c r="F101" s="5"/>
      <x:c r="G101" s="10" t="str">
        <x:f>IF(COUNTBLANK(E101:F101)&gt;0,"N/A",IF(F101=0,"N/A",E101/F101))</x:f>
        <x:v>N/A</x:v>
      </x:c>
      <x:c r="H101" s="5" t="str">
        <x:v>Gold</x:v>
      </x:c>
      <x:c r="I101" s="5" t="n">
        <x:v>0</x:v>
      </x:c>
      <x:c r="J101" s="5" t="n">
        <x:v>0</x:v>
      </x:c>
      <x:c r="K101" s="5" t="str">
        <x:v>rate</x:v>
      </x:c>
      <x:c r="L101" s="5" t="str">
        <x:v>N/A: zero independent human Gold labels; AI must not be promoted to human truth</x:v>
      </x:c>
    </x:row>
    <x:row r="102" ht="20" hidden="0" customHeight="1">
      <x:c r="A102" s="5" t="str">
        <x:v>paired_full</x:v>
      </x:c>
      <x:c r="B102" s="5" t="str">
        <x:v>development</x:v>
      </x:c>
      <x:c r="C102" s="5" t="str">
        <x:v>D3_EVIDENCE</x:v>
      </x:c>
      <x:c r="D102" s="5" t="str">
        <x:v>process_method_gold_accuracy</x:v>
      </x:c>
      <x:c r="E102" s="5"/>
      <x:c r="F102" s="5"/>
      <x:c r="G102" s="10" t="str">
        <x:f>IF(COUNTBLANK(E102:F102)&gt;0,"N/A",IF(F102=0,"N/A",E102/F102))</x:f>
        <x:v>N/A</x:v>
      </x:c>
      <x:c r="H102" s="5" t="str">
        <x:v>Gold</x:v>
      </x:c>
      <x:c r="I102" s="5" t="n">
        <x:v>0</x:v>
      </x:c>
      <x:c r="J102" s="5" t="n">
        <x:v>0</x:v>
      </x:c>
      <x:c r="K102" s="5" t="str">
        <x:v>rate</x:v>
      </x:c>
      <x:c r="L102" s="5" t="str">
        <x:v>N/A: zero independent human Gold labels; AI must not be promoted to human truth</x:v>
      </x:c>
    </x:row>
    <x:row r="103" ht="20" hidden="0" customHeight="1">
      <x:c r="A103" s="5" t="str">
        <x:v>paired_full</x:v>
      </x:c>
      <x:c r="B103" s="5" t="str">
        <x:v>development</x:v>
      </x:c>
      <x:c r="C103" s="5" t="str">
        <x:v>D3_EVIDENCE</x:v>
      </x:c>
      <x:c r="D103" s="5" t="str">
        <x:v>parameters_gold_accuracy</x:v>
      </x:c>
      <x:c r="E103" s="5"/>
      <x:c r="F103" s="5"/>
      <x:c r="G103" s="10" t="str">
        <x:f>IF(COUNTBLANK(E103:F103)&gt;0,"N/A",IF(F103=0,"N/A",E103/F103))</x:f>
        <x:v>N/A</x:v>
      </x:c>
      <x:c r="H103" s="5" t="str">
        <x:v>Gold</x:v>
      </x:c>
      <x:c r="I103" s="5" t="n">
        <x:v>0</x:v>
      </x:c>
      <x:c r="J103" s="5" t="n">
        <x:v>0</x:v>
      </x:c>
      <x:c r="K103" s="5" t="str">
        <x:v>rate</x:v>
      </x:c>
      <x:c r="L103" s="5" t="str">
        <x:v>N/A: zero independent human Gold labels; AI must not be promoted to human truth</x:v>
      </x:c>
    </x:row>
    <x:row r="104" ht="20" hidden="0" customHeight="1">
      <x:c r="A104" s="5" t="str">
        <x:v>paired_full</x:v>
      </x:c>
      <x:c r="B104" s="5" t="str">
        <x:v>development</x:v>
      </x:c>
      <x:c r="C104" s="5" t="str">
        <x:v>D3_EVIDENCE</x:v>
      </x:c>
      <x:c r="D104" s="5" t="str">
        <x:v>multiple_contributions_gold_accuracy</x:v>
      </x:c>
      <x:c r="E104" s="5"/>
      <x:c r="F104" s="5"/>
      <x:c r="G104" s="10" t="str">
        <x:f>IF(COUNTBLANK(E104:F104)&gt;0,"N/A",IF(F104=0,"N/A",E104/F104))</x:f>
        <x:v>N/A</x:v>
      </x:c>
      <x:c r="H104" s="5" t="str">
        <x:v>Gold</x:v>
      </x:c>
      <x:c r="I104" s="5" t="n">
        <x:v>0</x:v>
      </x:c>
      <x:c r="J104" s="5" t="n">
        <x:v>0</x:v>
      </x:c>
      <x:c r="K104" s="5" t="str">
        <x:v>rate</x:v>
      </x:c>
      <x:c r="L104" s="5" t="str">
        <x:v>N/A: zero independent human Gold labels; AI must not be promoted to human truth</x:v>
      </x:c>
    </x:row>
    <x:row r="105" ht="20" hidden="0" customHeight="1">
      <x:c r="A105" s="5" t="str">
        <x:v>paired_full</x:v>
      </x:c>
      <x:c r="B105" s="5" t="str">
        <x:v>development</x:v>
      </x:c>
      <x:c r="C105" s="5" t="str">
        <x:v>D3_FULL</x:v>
      </x:c>
      <x:c r="D105" s="5" t="str">
        <x:v>technical_object_correct_rate</x:v>
      </x:c>
      <x:c r="E105" s="5" t="n">
        <x:v>91</x:v>
      </x:c>
      <x:c r="F105" s="5" t="n">
        <x:v>91</x:v>
      </x:c>
      <x:c r="G105" s="10" t="n">
        <x:f>IF(COUNTBLANK(E105:F105)&gt;0,"N/A",IF(F105=0,"N/A",E105/F105))</x:f>
        <x:v>1</x:v>
      </x:c>
      <x:c r="H105" s="5" t="str">
        <x:v>Silver</x:v>
      </x:c>
      <x:c r="I105" s="5" t="n">
        <x:v>95</x:v>
      </x:c>
      <x:c r="J105" s="5" t="n">
        <x:v>4</x:v>
      </x:c>
      <x:c r="K105" s="5" t="str">
        <x:v>rate</x:v>
      </x:c>
      <x:c r="L105" s="5" t="str">
        <x:v>Correct / {Correct,Partially Correct,Incorrect}; insufficient and uncertain excluded; same-model Silver</x:v>
      </x:c>
    </x:row>
    <x:row r="106" ht="20" hidden="0" customHeight="1">
      <x:c r="A106" s="5" t="str">
        <x:v>paired_full</x:v>
      </x:c>
      <x:c r="B106" s="5" t="str">
        <x:v>development</x:v>
      </x:c>
      <x:c r="C106" s="5" t="str">
        <x:v>D3_FULL</x:v>
      </x:c>
      <x:c r="D106" s="5" t="str">
        <x:v>technical_object_partially_correct_rate</x:v>
      </x:c>
      <x:c r="E106" s="5" t="n">
        <x:v>0</x:v>
      </x:c>
      <x:c r="F106" s="5" t="n">
        <x:v>91</x:v>
      </x:c>
      <x:c r="G106" s="10" t="n">
        <x:f>IF(COUNTBLANK(E106:F106)&gt;0,"N/A",IF(F106=0,"N/A",E106/F106))</x:f>
        <x:v>0</x:v>
      </x:c>
      <x:c r="H106" s="5" t="str">
        <x:v>Silver</x:v>
      </x:c>
      <x:c r="I106" s="5" t="n">
        <x:v>95</x:v>
      </x:c>
      <x:c r="J106" s="5" t="n">
        <x:v>4</x:v>
      </x:c>
      <x:c r="K106" s="5" t="str">
        <x:v>rate</x:v>
      </x:c>
      <x:c r="L106" s="5" t="str"/>
    </x:row>
    <x:row r="107" ht="20" hidden="0" customHeight="1">
      <x:c r="A107" s="5" t="str">
        <x:v>paired_full</x:v>
      </x:c>
      <x:c r="B107" s="5" t="str">
        <x:v>development</x:v>
      </x:c>
      <x:c r="C107" s="5" t="str">
        <x:v>D3_FULL</x:v>
      </x:c>
      <x:c r="D107" s="5" t="str">
        <x:v>technical_problem_correct_rate</x:v>
      </x:c>
      <x:c r="E107" s="5" t="n">
        <x:v>73</x:v>
      </x:c>
      <x:c r="F107" s="5" t="n">
        <x:v>74</x:v>
      </x:c>
      <x:c r="G107" s="10" t="n">
        <x:f>IF(COUNTBLANK(E107:F107)&gt;0,"N/A",IF(F107=0,"N/A",E107/F107))</x:f>
        <x:v>0.9864864864864865</x:v>
      </x:c>
      <x:c r="H107" s="5" t="str">
        <x:v>Silver</x:v>
      </x:c>
      <x:c r="I107" s="5" t="n">
        <x:v>95</x:v>
      </x:c>
      <x:c r="J107" s="5" t="n">
        <x:v>21</x:v>
      </x:c>
      <x:c r="K107" s="5" t="str">
        <x:v>rate</x:v>
      </x:c>
      <x:c r="L107" s="5" t="str">
        <x:v>Correct / {Correct,Partially Correct,Incorrect}; insufficient and uncertain excluded; same-model Silver</x:v>
      </x:c>
    </x:row>
    <x:row r="108" ht="20" hidden="0" customHeight="1">
      <x:c r="A108" s="5" t="str">
        <x:v>paired_full</x:v>
      </x:c>
      <x:c r="B108" s="5" t="str">
        <x:v>development</x:v>
      </x:c>
      <x:c r="C108" s="5" t="str">
        <x:v>D3_FULL</x:v>
      </x:c>
      <x:c r="D108" s="5" t="str">
        <x:v>technical_problem_partially_correct_rate</x:v>
      </x:c>
      <x:c r="E108" s="5" t="n">
        <x:v>1</x:v>
      </x:c>
      <x:c r="F108" s="5" t="n">
        <x:v>74</x:v>
      </x:c>
      <x:c r="G108" s="10" t="n">
        <x:f>IF(COUNTBLANK(E108:F108)&gt;0,"N/A",IF(F108=0,"N/A",E108/F108))</x:f>
        <x:v>0.013513513513513514</x:v>
      </x:c>
      <x:c r="H108" s="5" t="str">
        <x:v>Silver</x:v>
      </x:c>
      <x:c r="I108" s="5" t="n">
        <x:v>95</x:v>
      </x:c>
      <x:c r="J108" s="5" t="n">
        <x:v>21</x:v>
      </x:c>
      <x:c r="K108" s="5" t="str">
        <x:v>rate</x:v>
      </x:c>
      <x:c r="L108" s="5" t="str"/>
    </x:row>
    <x:row r="109" ht="20" hidden="0" customHeight="1">
      <x:c r="A109" s="5" t="str">
        <x:v>paired_full</x:v>
      </x:c>
      <x:c r="B109" s="5" t="str">
        <x:v>development</x:v>
      </x:c>
      <x:c r="C109" s="5" t="str">
        <x:v>D3_FULL</x:v>
      </x:c>
      <x:c r="D109" s="5" t="str">
        <x:v>technical_mechanism_correct_rate</x:v>
      </x:c>
      <x:c r="E109" s="5" t="n">
        <x:v>82</x:v>
      </x:c>
      <x:c r="F109" s="5" t="n">
        <x:v>86</x:v>
      </x:c>
      <x:c r="G109" s="10" t="n">
        <x:f>IF(COUNTBLANK(E109:F109)&gt;0,"N/A",IF(F109=0,"N/A",E109/F109))</x:f>
        <x:v>0.9534883720930233</x:v>
      </x:c>
      <x:c r="H109" s="5" t="str">
        <x:v>Silver</x:v>
      </x:c>
      <x:c r="I109" s="5" t="n">
        <x:v>95</x:v>
      </x:c>
      <x:c r="J109" s="5" t="n">
        <x:v>9</x:v>
      </x:c>
      <x:c r="K109" s="5" t="str">
        <x:v>rate</x:v>
      </x:c>
      <x:c r="L109" s="5" t="str">
        <x:v>Correct / {Correct,Partially Correct,Incorrect}; insufficient and uncertain excluded; same-model Silver</x:v>
      </x:c>
    </x:row>
    <x:row r="110" ht="20" hidden="0" customHeight="1">
      <x:c r="A110" s="5" t="str">
        <x:v>paired_full</x:v>
      </x:c>
      <x:c r="B110" s="5" t="str">
        <x:v>development</x:v>
      </x:c>
      <x:c r="C110" s="5" t="str">
        <x:v>D3_FULL</x:v>
      </x:c>
      <x:c r="D110" s="5" t="str">
        <x:v>technical_mechanism_partially_correct_rate</x:v>
      </x:c>
      <x:c r="E110" s="5" t="n">
        <x:v>4</x:v>
      </x:c>
      <x:c r="F110" s="5" t="n">
        <x:v>86</x:v>
      </x:c>
      <x:c r="G110" s="10" t="n">
        <x:f>IF(COUNTBLANK(E110:F110)&gt;0,"N/A",IF(F110=0,"N/A",E110/F110))</x:f>
        <x:v>0.046511627906976744</x:v>
      </x:c>
      <x:c r="H110" s="5" t="str">
        <x:v>Silver</x:v>
      </x:c>
      <x:c r="I110" s="5" t="n">
        <x:v>95</x:v>
      </x:c>
      <x:c r="J110" s="5" t="n">
        <x:v>9</x:v>
      </x:c>
      <x:c r="K110" s="5" t="str">
        <x:v>rate</x:v>
      </x:c>
      <x:c r="L110" s="5" t="str"/>
    </x:row>
    <x:row r="111" ht="20" hidden="0" customHeight="1">
      <x:c r="A111" s="5" t="str">
        <x:v>paired_full</x:v>
      </x:c>
      <x:c r="B111" s="5" t="str">
        <x:v>development</x:v>
      </x:c>
      <x:c r="C111" s="5" t="str">
        <x:v>D3_FULL</x:v>
      </x:c>
      <x:c r="D111" s="5" t="str">
        <x:v>materials_correct_rate</x:v>
      </x:c>
      <x:c r="E111" s="5" t="n">
        <x:v>54</x:v>
      </x:c>
      <x:c r="F111" s="5" t="n">
        <x:v>73</x:v>
      </x:c>
      <x:c r="G111" s="10" t="n">
        <x:f>IF(COUNTBLANK(E111:F111)&gt;0,"N/A",IF(F111=0,"N/A",E111/F111))</x:f>
        <x:v>0.7397260273972602</x:v>
      </x:c>
      <x:c r="H111" s="5" t="str">
        <x:v>Silver</x:v>
      </x:c>
      <x:c r="I111" s="5" t="n">
        <x:v>95</x:v>
      </x:c>
      <x:c r="J111" s="5" t="n">
        <x:v>22</x:v>
      </x:c>
      <x:c r="K111" s="5" t="str">
        <x:v>rate</x:v>
      </x:c>
      <x:c r="L111" s="5" t="str">
        <x:v>Correct / {Correct,Partially Correct,Incorrect}; insufficient and uncertain excluded; same-model Silver</x:v>
      </x:c>
    </x:row>
    <x:row r="112" ht="20" hidden="0" customHeight="1">
      <x:c r="A112" s="5" t="str">
        <x:v>paired_full</x:v>
      </x:c>
      <x:c r="B112" s="5" t="str">
        <x:v>development</x:v>
      </x:c>
      <x:c r="C112" s="5" t="str">
        <x:v>D3_FULL</x:v>
      </x:c>
      <x:c r="D112" s="5" t="str">
        <x:v>materials_partially_correct_rate</x:v>
      </x:c>
      <x:c r="E112" s="5" t="n">
        <x:v>19</x:v>
      </x:c>
      <x:c r="F112" s="5" t="n">
        <x:v>73</x:v>
      </x:c>
      <x:c r="G112" s="10" t="n">
        <x:f>IF(COUNTBLANK(E112:F112)&gt;0,"N/A",IF(F112=0,"N/A",E112/F112))</x:f>
        <x:v>0.2602739726027397</x:v>
      </x:c>
      <x:c r="H112" s="5" t="str">
        <x:v>Silver</x:v>
      </x:c>
      <x:c r="I112" s="5" t="n">
        <x:v>95</x:v>
      </x:c>
      <x:c r="J112" s="5" t="n">
        <x:v>22</x:v>
      </x:c>
      <x:c r="K112" s="5" t="str">
        <x:v>rate</x:v>
      </x:c>
      <x:c r="L112" s="5" t="str"/>
    </x:row>
    <x:row r="113" ht="20" hidden="0" customHeight="1">
      <x:c r="A113" s="5" t="str">
        <x:v>paired_full</x:v>
      </x:c>
      <x:c r="B113" s="5" t="str">
        <x:v>development</x:v>
      </x:c>
      <x:c r="C113" s="5" t="str">
        <x:v>D3_FULL</x:v>
      </x:c>
      <x:c r="D113" s="5" t="str">
        <x:v>process_method_correct_rate</x:v>
      </x:c>
      <x:c r="E113" s="5" t="n">
        <x:v>55</x:v>
      </x:c>
      <x:c r="F113" s="5" t="n">
        <x:v>63</x:v>
      </x:c>
      <x:c r="G113" s="10" t="n">
        <x:f>IF(COUNTBLANK(E113:F113)&gt;0,"N/A",IF(F113=0,"N/A",E113/F113))</x:f>
        <x:v>0.873015873015873</x:v>
      </x:c>
      <x:c r="H113" s="5" t="str">
        <x:v>Silver</x:v>
      </x:c>
      <x:c r="I113" s="5" t="n">
        <x:v>95</x:v>
      </x:c>
      <x:c r="J113" s="5" t="n">
        <x:v>32</x:v>
      </x:c>
      <x:c r="K113" s="5" t="str">
        <x:v>rate</x:v>
      </x:c>
      <x:c r="L113" s="5" t="str">
        <x:v>Correct / {Correct,Partially Correct,Incorrect}; insufficient and uncertain excluded; same-model Silver</x:v>
      </x:c>
    </x:row>
    <x:row r="114" ht="20" hidden="0" customHeight="1">
      <x:c r="A114" s="5" t="str">
        <x:v>paired_full</x:v>
      </x:c>
      <x:c r="B114" s="5" t="str">
        <x:v>development</x:v>
      </x:c>
      <x:c r="C114" s="5" t="str">
        <x:v>D3_FULL</x:v>
      </x:c>
      <x:c r="D114" s="5" t="str">
        <x:v>process_method_partially_correct_rate</x:v>
      </x:c>
      <x:c r="E114" s="5" t="n">
        <x:v>8</x:v>
      </x:c>
      <x:c r="F114" s="5" t="n">
        <x:v>63</x:v>
      </x:c>
      <x:c r="G114" s="10" t="n">
        <x:f>IF(COUNTBLANK(E114:F114)&gt;0,"N/A",IF(F114=0,"N/A",E114/F114))</x:f>
        <x:v>0.12698412698412698</x:v>
      </x:c>
      <x:c r="H114" s="5" t="str">
        <x:v>Silver</x:v>
      </x:c>
      <x:c r="I114" s="5" t="n">
        <x:v>95</x:v>
      </x:c>
      <x:c r="J114" s="5" t="n">
        <x:v>32</x:v>
      </x:c>
      <x:c r="K114" s="5" t="str">
        <x:v>rate</x:v>
      </x:c>
      <x:c r="L114" s="5" t="str"/>
    </x:row>
    <x:row r="115" ht="20" hidden="0" customHeight="1">
      <x:c r="A115" s="5" t="str">
        <x:v>paired_full</x:v>
      </x:c>
      <x:c r="B115" s="5" t="str">
        <x:v>development</x:v>
      </x:c>
      <x:c r="C115" s="5" t="str">
        <x:v>D3_FULL</x:v>
      </x:c>
      <x:c r="D115" s="5" t="str">
        <x:v>process_order_correct_rate</x:v>
      </x:c>
      <x:c r="E115" s="5" t="n">
        <x:v>21</x:v>
      </x:c>
      <x:c r="F115" s="5" t="n">
        <x:v>27</x:v>
      </x:c>
      <x:c r="G115" s="10" t="n">
        <x:f>IF(COUNTBLANK(E115:F115)&gt;0,"N/A",IF(F115=0,"N/A",E115/F115))</x:f>
        <x:v>0.7777777777777778</x:v>
      </x:c>
      <x:c r="H115" s="5" t="str">
        <x:v>Silver</x:v>
      </x:c>
      <x:c r="I115" s="5" t="n">
        <x:v>95</x:v>
      </x:c>
      <x:c r="J115" s="5" t="n">
        <x:v>68</x:v>
      </x:c>
      <x:c r="K115" s="5" t="str">
        <x:v>rate</x:v>
      </x:c>
      <x:c r="L115" s="5" t="str">
        <x:v>Correct / {Correct,Partially Correct,Incorrect}; insufficient and uncertain excluded; same-model Silver</x:v>
      </x:c>
    </x:row>
    <x:row r="116" ht="20" hidden="0" customHeight="1">
      <x:c r="A116" s="5" t="str">
        <x:v>paired_full</x:v>
      </x:c>
      <x:c r="B116" s="5" t="str">
        <x:v>development</x:v>
      </x:c>
      <x:c r="C116" s="5" t="str">
        <x:v>D3_FULL</x:v>
      </x:c>
      <x:c r="D116" s="5" t="str">
        <x:v>process_order_partially_correct_rate</x:v>
      </x:c>
      <x:c r="E116" s="5" t="n">
        <x:v>6</x:v>
      </x:c>
      <x:c r="F116" s="5" t="n">
        <x:v>27</x:v>
      </x:c>
      <x:c r="G116" s="10" t="n">
        <x:f>IF(COUNTBLANK(E116:F116)&gt;0,"N/A",IF(F116=0,"N/A",E116/F116))</x:f>
        <x:v>0.2222222222222222</x:v>
      </x:c>
      <x:c r="H116" s="5" t="str">
        <x:v>Silver</x:v>
      </x:c>
      <x:c r="I116" s="5" t="n">
        <x:v>95</x:v>
      </x:c>
      <x:c r="J116" s="5" t="n">
        <x:v>68</x:v>
      </x:c>
      <x:c r="K116" s="5" t="str">
        <x:v>rate</x:v>
      </x:c>
      <x:c r="L116" s="5" t="str"/>
    </x:row>
    <x:row r="117" ht="20" hidden="0" customHeight="1">
      <x:c r="A117" s="5" t="str">
        <x:v>paired_full</x:v>
      </x:c>
      <x:c r="B117" s="5" t="str">
        <x:v>development</x:v>
      </x:c>
      <x:c r="C117" s="5" t="str">
        <x:v>D3_FULL</x:v>
      </x:c>
      <x:c r="D117" s="5" t="str">
        <x:v>parameters_correct_rate</x:v>
      </x:c>
      <x:c r="E117" s="5" t="n">
        <x:v>42</x:v>
      </x:c>
      <x:c r="F117" s="5" t="n">
        <x:v>47</x:v>
      </x:c>
      <x:c r="G117" s="10" t="n">
        <x:f>IF(COUNTBLANK(E117:F117)&gt;0,"N/A",IF(F117=0,"N/A",E117/F117))</x:f>
        <x:v>0.8936170212765957</x:v>
      </x:c>
      <x:c r="H117" s="5" t="str">
        <x:v>Silver</x:v>
      </x:c>
      <x:c r="I117" s="5" t="n">
        <x:v>95</x:v>
      </x:c>
      <x:c r="J117" s="5" t="n">
        <x:v>48</x:v>
      </x:c>
      <x:c r="K117" s="5" t="str">
        <x:v>rate</x:v>
      </x:c>
      <x:c r="L117" s="5" t="str">
        <x:v>Correct / {Correct,Partially Correct,Incorrect}; insufficient and uncertain excluded; same-model Silver</x:v>
      </x:c>
    </x:row>
    <x:row r="118" ht="20" hidden="0" customHeight="1">
      <x:c r="A118" s="5" t="str">
        <x:v>paired_full</x:v>
      </x:c>
      <x:c r="B118" s="5" t="str">
        <x:v>development</x:v>
      </x:c>
      <x:c r="C118" s="5" t="str">
        <x:v>D3_FULL</x:v>
      </x:c>
      <x:c r="D118" s="5" t="str">
        <x:v>parameters_partially_correct_rate</x:v>
      </x:c>
      <x:c r="E118" s="5" t="n">
        <x:v>5</x:v>
      </x:c>
      <x:c r="F118" s="5" t="n">
        <x:v>47</x:v>
      </x:c>
      <x:c r="G118" s="10" t="n">
        <x:f>IF(COUNTBLANK(E118:F118)&gt;0,"N/A",IF(F118=0,"N/A",E118/F118))</x:f>
        <x:v>0.10638297872340426</x:v>
      </x:c>
      <x:c r="H118" s="5" t="str">
        <x:v>Silver</x:v>
      </x:c>
      <x:c r="I118" s="5" t="n">
        <x:v>95</x:v>
      </x:c>
      <x:c r="J118" s="5" t="n">
        <x:v>48</x:v>
      </x:c>
      <x:c r="K118" s="5" t="str">
        <x:v>rate</x:v>
      </x:c>
      <x:c r="L118" s="5" t="str"/>
    </x:row>
    <x:row r="119" ht="20" hidden="0" customHeight="1">
      <x:c r="A119" s="5" t="str">
        <x:v>paired_full</x:v>
      </x:c>
      <x:c r="B119" s="5" t="str">
        <x:v>development</x:v>
      </x:c>
      <x:c r="C119" s="5" t="str">
        <x:v>D3_FULL</x:v>
      </x:c>
      <x:c r="D119" s="5" t="str">
        <x:v>effects_correct_rate</x:v>
      </x:c>
      <x:c r="E119" s="5" t="n">
        <x:v>76</x:v>
      </x:c>
      <x:c r="F119" s="5" t="n">
        <x:v>77</x:v>
      </x:c>
      <x:c r="G119" s="10" t="n">
        <x:f>IF(COUNTBLANK(E119:F119)&gt;0,"N/A",IF(F119=0,"N/A",E119/F119))</x:f>
        <x:v>0.987012987012987</x:v>
      </x:c>
      <x:c r="H119" s="5" t="str">
        <x:v>Silver</x:v>
      </x:c>
      <x:c r="I119" s="5" t="n">
        <x:v>95</x:v>
      </x:c>
      <x:c r="J119" s="5" t="n">
        <x:v>18</x:v>
      </x:c>
      <x:c r="K119" s="5" t="str">
        <x:v>rate</x:v>
      </x:c>
      <x:c r="L119" s="5" t="str">
        <x:v>Correct / {Correct,Partially Correct,Incorrect}; insufficient and uncertain excluded; same-model Silver</x:v>
      </x:c>
    </x:row>
    <x:row r="120" ht="20" hidden="0" customHeight="1">
      <x:c r="A120" s="5" t="str">
        <x:v>paired_full</x:v>
      </x:c>
      <x:c r="B120" s="5" t="str">
        <x:v>development</x:v>
      </x:c>
      <x:c r="C120" s="5" t="str">
        <x:v>D3_FULL</x:v>
      </x:c>
      <x:c r="D120" s="5" t="str">
        <x:v>effects_partially_correct_rate</x:v>
      </x:c>
      <x:c r="E120" s="5" t="n">
        <x:v>1</x:v>
      </x:c>
      <x:c r="F120" s="5" t="n">
        <x:v>77</x:v>
      </x:c>
      <x:c r="G120" s="10" t="n">
        <x:f>IF(COUNTBLANK(E120:F120)&gt;0,"N/A",IF(F120=0,"N/A",E120/F120))</x:f>
        <x:v>0.012987012987012988</x:v>
      </x:c>
      <x:c r="H120" s="5" t="str">
        <x:v>Silver</x:v>
      </x:c>
      <x:c r="I120" s="5" t="n">
        <x:v>95</x:v>
      </x:c>
      <x:c r="J120" s="5" t="n">
        <x:v>18</x:v>
      </x:c>
      <x:c r="K120" s="5" t="str">
        <x:v>rate</x:v>
      </x:c>
      <x:c r="L120" s="5" t="str"/>
    </x:row>
    <x:row r="121" ht="20" hidden="0" customHeight="1">
      <x:c r="A121" s="5" t="str">
        <x:v>paired_full</x:v>
      </x:c>
      <x:c r="B121" s="5" t="str">
        <x:v>development</x:v>
      </x:c>
      <x:c r="C121" s="5" t="str">
        <x:v>D3_FULL</x:v>
      </x:c>
      <x:c r="D121" s="5" t="str">
        <x:v>multiple_contributions_correct_rate</x:v>
      </x:c>
      <x:c r="E121" s="5" t="n">
        <x:v>84</x:v>
      </x:c>
      <x:c r="F121" s="5" t="n">
        <x:v>89</x:v>
      </x:c>
      <x:c r="G121" s="10" t="n">
        <x:f>IF(COUNTBLANK(E121:F121)&gt;0,"N/A",IF(F121=0,"N/A",E121/F121))</x:f>
        <x:v>0.9438202247191011</x:v>
      </x:c>
      <x:c r="H121" s="5" t="str">
        <x:v>Silver</x:v>
      </x:c>
      <x:c r="I121" s="5" t="n">
        <x:v>95</x:v>
      </x:c>
      <x:c r="J121" s="5" t="n">
        <x:v>6</x:v>
      </x:c>
      <x:c r="K121" s="5" t="str">
        <x:v>rate</x:v>
      </x:c>
      <x:c r="L121" s="5" t="str">
        <x:v>Correct / {Correct,Partially Correct,Incorrect}; insufficient and uncertain excluded; same-model Silver</x:v>
      </x:c>
    </x:row>
    <x:row r="122" ht="20" hidden="0" customHeight="1">
      <x:c r="A122" s="5" t="str">
        <x:v>paired_full</x:v>
      </x:c>
      <x:c r="B122" s="5" t="str">
        <x:v>development</x:v>
      </x:c>
      <x:c r="C122" s="5" t="str">
        <x:v>D3_FULL</x:v>
      </x:c>
      <x:c r="D122" s="5" t="str">
        <x:v>multiple_contributions_partially_correct_rate</x:v>
      </x:c>
      <x:c r="E122" s="5" t="n">
        <x:v>5</x:v>
      </x:c>
      <x:c r="F122" s="5" t="n">
        <x:v>89</x:v>
      </x:c>
      <x:c r="G122" s="10" t="n">
        <x:f>IF(COUNTBLANK(E122:F122)&gt;0,"N/A",IF(F122=0,"N/A",E122/F122))</x:f>
        <x:v>0.056179775280898875</x:v>
      </x:c>
      <x:c r="H122" s="5" t="str">
        <x:v>Silver</x:v>
      </x:c>
      <x:c r="I122" s="5" t="n">
        <x:v>95</x:v>
      </x:c>
      <x:c r="J122" s="5" t="n">
        <x:v>6</x:v>
      </x:c>
      <x:c r="K122" s="5" t="str">
        <x:v>rate</x:v>
      </x:c>
      <x:c r="L122" s="5" t="str"/>
    </x:row>
    <x:row r="123" ht="20" hidden="0" customHeight="1">
      <x:c r="A123" s="5" t="str">
        <x:v>paired_full</x:v>
      </x:c>
      <x:c r="B123" s="5" t="str">
        <x:v>development</x:v>
      </x:c>
      <x:c r="C123" s="5" t="str">
        <x:v>D3_FULL</x:v>
      </x:c>
      <x:c r="D123" s="5" t="str">
        <x:v>hallucination_correct_rate</x:v>
      </x:c>
      <x:c r="E123" s="5" t="n">
        <x:v>95</x:v>
      </x:c>
      <x:c r="F123" s="5" t="n">
        <x:v>95</x:v>
      </x:c>
      <x:c r="G123" s="10" t="n">
        <x:f>IF(COUNTBLANK(E123:F123)&gt;0,"N/A",IF(F123=0,"N/A",E123/F123))</x:f>
        <x:v>1</x:v>
      </x:c>
      <x:c r="H123" s="5" t="str">
        <x:v>Silver</x:v>
      </x:c>
      <x:c r="I123" s="5" t="n">
        <x:v>95</x:v>
      </x:c>
      <x:c r="J123" s="5" t="n">
        <x:v>0</x:v>
      </x:c>
      <x:c r="K123" s="5" t="str">
        <x:v>rate</x:v>
      </x:c>
      <x:c r="L123" s="5" t="str">
        <x:v>Correct / {Correct,Partially Correct,Incorrect}; insufficient and uncertain excluded; same-model Silver</x:v>
      </x:c>
    </x:row>
    <x:row r="124" ht="20" hidden="0" customHeight="1">
      <x:c r="A124" s="5" t="str">
        <x:v>paired_full</x:v>
      </x:c>
      <x:c r="B124" s="5" t="str">
        <x:v>development</x:v>
      </x:c>
      <x:c r="C124" s="5" t="str">
        <x:v>D3_FULL</x:v>
      </x:c>
      <x:c r="D124" s="5" t="str">
        <x:v>hallucination_partially_correct_rate</x:v>
      </x:c>
      <x:c r="E124" s="5" t="n">
        <x:v>0</x:v>
      </x:c>
      <x:c r="F124" s="5" t="n">
        <x:v>95</x:v>
      </x:c>
      <x:c r="G124" s="10" t="n">
        <x:f>IF(COUNTBLANK(E124:F124)&gt;0,"N/A",IF(F124=0,"N/A",E124/F124))</x:f>
        <x:v>0</x:v>
      </x:c>
      <x:c r="H124" s="5" t="str">
        <x:v>Silver</x:v>
      </x:c>
      <x:c r="I124" s="5" t="n">
        <x:v>95</x:v>
      </x:c>
      <x:c r="J124" s="5" t="n">
        <x:v>0</x:v>
      </x:c>
      <x:c r="K124" s="5" t="str">
        <x:v>rate</x:v>
      </x:c>
      <x:c r="L124" s="5" t="str"/>
    </x:row>
    <x:row r="125" ht="31" hidden="0" customHeight="1">
      <x:c r="A125" s="5" t="str">
        <x:v>paired_full</x:v>
      </x:c>
      <x:c r="B125" s="5" t="str">
        <x:v>development</x:v>
      </x:c>
      <x:c r="C125" s="5" t="str">
        <x:v>D3_FULL</x:v>
      </x:c>
      <x:c r="D125" s="5" t="str">
        <x:v>contribution_coverage</x:v>
      </x:c>
      <x:c r="E125" s="5" t="n">
        <x:v>99</x:v>
      </x:c>
      <x:c r="F125" s="5" t="n">
        <x:v>100</x:v>
      </x:c>
      <x:c r="G125" s="10" t="n">
        <x:f>IF(COUNTBLANK(E125:F125)&gt;0,"N/A",IF(F125=0,"N/A",E125/F125))</x:f>
        <x:v>0.99</x:v>
      </x:c>
      <x:c r="H125" s="5" t="str">
        <x:v>Silver</x:v>
      </x:c>
      <x:c r="I125" s="5" t="n">
        <x:v>95</x:v>
      </x:c>
      <x:c r="J125" s="5" t="n">
        <x:v>9</x:v>
      </x:c>
      <x:c r="K125" s="5" t="str">
        <x:v>rate</x:v>
      </x:c>
      <x:c r="L125" s="5" t="str">
        <x:v>Source-reference denominators required consistent across matched configs; disagreements/zero applicability excluded</x:v>
      </x:c>
    </x:row>
    <x:row r="126" ht="31" hidden="0" customHeight="1">
      <x:c r="A126" s="5" t="str">
        <x:v>paired_full</x:v>
      </x:c>
      <x:c r="B126" s="5" t="str">
        <x:v>development</x:v>
      </x:c>
      <x:c r="C126" s="5" t="str">
        <x:v>D3_FULL</x:v>
      </x:c>
      <x:c r="D126" s="5" t="str">
        <x:v>material_retention</x:v>
      </x:c>
      <x:c r="E126" s="5" t="n">
        <x:v>179</x:v>
      </x:c>
      <x:c r="F126" s="5" t="n">
        <x:v>180</x:v>
      </x:c>
      <x:c r="G126" s="10" t="n">
        <x:f>IF(COUNTBLANK(E126:F126)&gt;0,"N/A",IF(F126=0,"N/A",E126/F126))</x:f>
        <x:v>0.9944444444444445</x:v>
      </x:c>
      <x:c r="H126" s="5" t="str">
        <x:v>Silver</x:v>
      </x:c>
      <x:c r="I126" s="5" t="n">
        <x:v>95</x:v>
      </x:c>
      <x:c r="J126" s="5" t="n">
        <x:v>28</x:v>
      </x:c>
      <x:c r="K126" s="5" t="str">
        <x:v>rate</x:v>
      </x:c>
      <x:c r="L126" s="5" t="str">
        <x:v>Source-reference denominators required consistent across matched configs; disagreements/zero applicability excluded</x:v>
      </x:c>
    </x:row>
    <x:row r="127" ht="31" hidden="0" customHeight="1">
      <x:c r="A127" s="5" t="str">
        <x:v>paired_full</x:v>
      </x:c>
      <x:c r="B127" s="5" t="str">
        <x:v>development</x:v>
      </x:c>
      <x:c r="C127" s="5" t="str">
        <x:v>D3_FULL</x:v>
      </x:c>
      <x:c r="D127" s="5" t="str">
        <x:v>process_retention</x:v>
      </x:c>
      <x:c r="E127" s="5" t="n">
        <x:v>151</x:v>
      </x:c>
      <x:c r="F127" s="5" t="n">
        <x:v>151</x:v>
      </x:c>
      <x:c r="G127" s="10" t="n">
        <x:f>IF(COUNTBLANK(E127:F127)&gt;0,"N/A",IF(F127=0,"N/A",E127/F127))</x:f>
        <x:v>1</x:v>
      </x:c>
      <x:c r="H127" s="5" t="str">
        <x:v>Silver</x:v>
      </x:c>
      <x:c r="I127" s="5" t="n">
        <x:v>95</x:v>
      </x:c>
      <x:c r="J127" s="5" t="n">
        <x:v>36</x:v>
      </x:c>
      <x:c r="K127" s="5" t="str">
        <x:v>rate</x:v>
      </x:c>
      <x:c r="L127" s="5" t="str">
        <x:v>Source-reference denominators required consistent across matched configs; disagreements/zero applicability excluded</x:v>
      </x:c>
    </x:row>
    <x:row r="128" ht="20" hidden="0" customHeight="1">
      <x:c r="A128" s="5" t="str">
        <x:v>paired_full</x:v>
      </x:c>
      <x:c r="B128" s="5" t="str">
        <x:v>development</x:v>
      </x:c>
      <x:c r="C128" s="5" t="str">
        <x:v>D3_FULL</x:v>
      </x:c>
      <x:c r="D128" s="5" t="str">
        <x:v>multi_contribution_omission_rate</x:v>
      </x:c>
      <x:c r="E128" s="5" t="n">
        <x:v>1</x:v>
      </x:c>
      <x:c r="F128" s="5" t="n">
        <x:v>10</x:v>
      </x:c>
      <x:c r="G128" s="10" t="n">
        <x:f>IF(COUNTBLANK(E128:F128)&gt;0,"N/A",IF(F128=0,"N/A",E128/F128))</x:f>
        <x:v>0.1</x:v>
      </x:c>
      <x:c r="H128" s="5" t="str">
        <x:v>Silver</x:v>
      </x:c>
      <x:c r="I128" s="5" t="n">
        <x:v>95</x:v>
      </x:c>
      <x:c r="J128" s="5" t="n">
        <x:v>85</x:v>
      </x:c>
      <x:c r="K128" s="5" t="str">
        <x:v>rate</x:v>
      </x:c>
      <x:c r="L128" s="5" t="str"/>
    </x:row>
    <x:row r="129" ht="20" hidden="0" customHeight="1">
      <x:c r="A129" s="5" t="str">
        <x:v>paired_full</x:v>
      </x:c>
      <x:c r="B129" s="5" t="str">
        <x:v>development</x:v>
      </x:c>
      <x:c r="C129" s="5" t="str">
        <x:v>D3_FULL</x:v>
      </x:c>
      <x:c r="D129" s="5" t="str">
        <x:v>full_conclusion_support_rate</x:v>
      </x:c>
      <x:c r="E129" s="5" t="n">
        <x:v>87</x:v>
      </x:c>
      <x:c r="F129" s="5" t="n">
        <x:v>87</x:v>
      </x:c>
      <x:c r="G129" s="10" t="n">
        <x:f>IF(COUNTBLANK(E129:F129)&gt;0,"N/A",IF(F129=0,"N/A",E129/F129))</x:f>
        <x:v>1</x:v>
      </x:c>
      <x:c r="H129" s="5" t="str">
        <x:v>Silver</x:v>
      </x:c>
      <x:c r="I129" s="5" t="n">
        <x:v>95</x:v>
      </x:c>
      <x:c r="J129" s="5" t="n">
        <x:v>8</x:v>
      </x:c>
      <x:c r="K129" s="5" t="str">
        <x:v>rate</x:v>
      </x:c>
      <x:c r="L129" s="5" t="str"/>
    </x:row>
    <x:row r="130" ht="20" hidden="0" customHeight="1">
      <x:c r="A130" s="5" t="str">
        <x:v>paired_full</x:v>
      </x:c>
      <x:c r="B130" s="5" t="str">
        <x:v>development</x:v>
      </x:c>
      <x:c r="C130" s="5" t="str">
        <x:v>D3_FULL</x:v>
      </x:c>
      <x:c r="D130" s="5" t="str">
        <x:v>mean_contributions_per_family</x:v>
      </x:c>
      <x:c r="E130" s="5" t="n">
        <x:v>98</x:v>
      </x:c>
      <x:c r="F130" s="5" t="n">
        <x:v>95</x:v>
      </x:c>
      <x:c r="G130" s="11" t="n">
        <x:f>IF(COUNTBLANK(E130:F130)&gt;0,"N/A",IF(F130=0,"N/A",E130/F130))</x:f>
        <x:v>1.0315789473684212</x:v>
      </x:c>
      <x:c r="H130" s="5" t="str">
        <x:v>Silver</x:v>
      </x:c>
      <x:c r="I130" s="5" t="n">
        <x:v>95</x:v>
      </x:c>
      <x:c r="J130" s="5" t="n">
        <x:v>0</x:v>
      </x:c>
      <x:c r="K130" s="5" t="str">
        <x:v>contributions/family</x:v>
      </x:c>
      <x:c r="L130" s="5" t="str"/>
    </x:row>
    <x:row r="131" ht="20" hidden="0" customHeight="1">
      <x:c r="A131" s="5" t="str">
        <x:v>paired_full</x:v>
      </x:c>
      <x:c r="B131" s="5" t="str">
        <x:v>development</x:v>
      </x:c>
      <x:c r="C131" s="5" t="str">
        <x:v>D3_FULL</x:v>
      </x:c>
      <x:c r="D131" s="5" t="str">
        <x:v>oversplit_contribution_rate</x:v>
      </x:c>
      <x:c r="E131" s="5" t="n">
        <x:v>2</x:v>
      </x:c>
      <x:c r="F131" s="5" t="n">
        <x:v>98</x:v>
      </x:c>
      <x:c r="G131" s="10" t="n">
        <x:f>IF(COUNTBLANK(E131:F131)&gt;0,"N/A",IF(F131=0,"N/A",E131/F131))</x:f>
        <x:v>0.02040816326530612</x:v>
      </x:c>
      <x:c r="H131" s="5" t="str">
        <x:v>Silver</x:v>
      </x:c>
      <x:c r="I131" s="5" t="n">
        <x:v>95</x:v>
      </x:c>
      <x:c r="J131" s="5" t="n">
        <x:v>0</x:v>
      </x:c>
      <x:c r="K131" s="5" t="str">
        <x:v>rate</x:v>
      </x:c>
      <x:c r="L131" s="5" t="str">
        <x:v>Auditor oversplit units / actual explicit output units; not a human error rate</x:v>
      </x:c>
    </x:row>
    <x:row r="132" ht="20" hidden="0" customHeight="1">
      <x:c r="A132" s="5" t="str">
        <x:v>paired_full</x:v>
      </x:c>
      <x:c r="B132" s="5" t="str">
        <x:v>development</x:v>
      </x:c>
      <x:c r="C132" s="5" t="str">
        <x:v>D3_FULL</x:v>
      </x:c>
      <x:c r="D132" s="5" t="str">
        <x:v>hallucinated_contribution_rate</x:v>
      </x:c>
      <x:c r="E132" s="5" t="n">
        <x:v>0</x:v>
      </x:c>
      <x:c r="F132" s="5" t="n">
        <x:v>98</x:v>
      </x:c>
      <x:c r="G132" s="10" t="n">
        <x:f>IF(COUNTBLANK(E132:F132)&gt;0,"N/A",IF(F132=0,"N/A",E132/F132))</x:f>
        <x:v>0</x:v>
      </x:c>
      <x:c r="H132" s="5" t="str">
        <x:v>Silver</x:v>
      </x:c>
      <x:c r="I132" s="5" t="n">
        <x:v>95</x:v>
      </x:c>
      <x:c r="J132" s="5" t="n">
        <x:v>0</x:v>
      </x:c>
      <x:c r="K132" s="5" t="str">
        <x:v>rate</x:v>
      </x:c>
      <x:c r="L132" s="5" t="str"/>
    </x:row>
    <x:row r="133" ht="20" hidden="0" customHeight="1">
      <x:c r="A133" s="5" t="str">
        <x:v>paired_full</x:v>
      </x:c>
      <x:c r="B133" s="5" t="str">
        <x:v>development</x:v>
      </x:c>
      <x:c r="C133" s="5" t="str">
        <x:v>D3_FULL</x:v>
      </x:c>
      <x:c r="D133" s="5" t="str">
        <x:v>technical_mechanism_gold_accuracy</x:v>
      </x:c>
      <x:c r="E133" s="5"/>
      <x:c r="F133" s="5"/>
      <x:c r="G133" s="10" t="str">
        <x:f>IF(COUNTBLANK(E133:F133)&gt;0,"N/A",IF(F133=0,"N/A",E133/F133))</x:f>
        <x:v>N/A</x:v>
      </x:c>
      <x:c r="H133" s="5" t="str">
        <x:v>Gold</x:v>
      </x:c>
      <x:c r="I133" s="5" t="n">
        <x:v>0</x:v>
      </x:c>
      <x:c r="J133" s="5" t="n">
        <x:v>0</x:v>
      </x:c>
      <x:c r="K133" s="5" t="str">
        <x:v>rate</x:v>
      </x:c>
      <x:c r="L133" s="5" t="str">
        <x:v>N/A: zero independent human Gold labels; AI must not be promoted to human truth</x:v>
      </x:c>
    </x:row>
    <x:row r="134" ht="20" hidden="0" customHeight="1">
      <x:c r="A134" s="5" t="str">
        <x:v>paired_full</x:v>
      </x:c>
      <x:c r="B134" s="5" t="str">
        <x:v>development</x:v>
      </x:c>
      <x:c r="C134" s="5" t="str">
        <x:v>D3_FULL</x:v>
      </x:c>
      <x:c r="D134" s="5" t="str">
        <x:v>materials_gold_accuracy</x:v>
      </x:c>
      <x:c r="E134" s="5"/>
      <x:c r="F134" s="5"/>
      <x:c r="G134" s="10" t="str">
        <x:f>IF(COUNTBLANK(E134:F134)&gt;0,"N/A",IF(F134=0,"N/A",E134/F134))</x:f>
        <x:v>N/A</x:v>
      </x:c>
      <x:c r="H134" s="5" t="str">
        <x:v>Gold</x:v>
      </x:c>
      <x:c r="I134" s="5" t="n">
        <x:v>0</x:v>
      </x:c>
      <x:c r="J134" s="5" t="n">
        <x:v>0</x:v>
      </x:c>
      <x:c r="K134" s="5" t="str">
        <x:v>rate</x:v>
      </x:c>
      <x:c r="L134" s="5" t="str">
        <x:v>N/A: zero independent human Gold labels; AI must not be promoted to human truth</x:v>
      </x:c>
    </x:row>
    <x:row r="135" ht="20" hidden="0" customHeight="1">
      <x:c r="A135" s="5" t="str">
        <x:v>paired_full</x:v>
      </x:c>
      <x:c r="B135" s="5" t="str">
        <x:v>development</x:v>
      </x:c>
      <x:c r="C135" s="5" t="str">
        <x:v>D3_FULL</x:v>
      </x:c>
      <x:c r="D135" s="5" t="str">
        <x:v>process_method_gold_accuracy</x:v>
      </x:c>
      <x:c r="E135" s="5"/>
      <x:c r="F135" s="5"/>
      <x:c r="G135" s="10" t="str">
        <x:f>IF(COUNTBLANK(E135:F135)&gt;0,"N/A",IF(F135=0,"N/A",E135/F135))</x:f>
        <x:v>N/A</x:v>
      </x:c>
      <x:c r="H135" s="5" t="str">
        <x:v>Gold</x:v>
      </x:c>
      <x:c r="I135" s="5" t="n">
        <x:v>0</x:v>
      </x:c>
      <x:c r="J135" s="5" t="n">
        <x:v>0</x:v>
      </x:c>
      <x:c r="K135" s="5" t="str">
        <x:v>rate</x:v>
      </x:c>
      <x:c r="L135" s="5" t="str">
        <x:v>N/A: zero independent human Gold labels; AI must not be promoted to human truth</x:v>
      </x:c>
    </x:row>
    <x:row r="136" ht="20" hidden="0" customHeight="1">
      <x:c r="A136" s="5" t="str">
        <x:v>paired_full</x:v>
      </x:c>
      <x:c r="B136" s="5" t="str">
        <x:v>development</x:v>
      </x:c>
      <x:c r="C136" s="5" t="str">
        <x:v>D3_FULL</x:v>
      </x:c>
      <x:c r="D136" s="5" t="str">
        <x:v>parameters_gold_accuracy</x:v>
      </x:c>
      <x:c r="E136" s="5"/>
      <x:c r="F136" s="5"/>
      <x:c r="G136" s="10" t="str">
        <x:f>IF(COUNTBLANK(E136:F136)&gt;0,"N/A",IF(F136=0,"N/A",E136/F136))</x:f>
        <x:v>N/A</x:v>
      </x:c>
      <x:c r="H136" s="5" t="str">
        <x:v>Gold</x:v>
      </x:c>
      <x:c r="I136" s="5" t="n">
        <x:v>0</x:v>
      </x:c>
      <x:c r="J136" s="5" t="n">
        <x:v>0</x:v>
      </x:c>
      <x:c r="K136" s="5" t="str">
        <x:v>rate</x:v>
      </x:c>
      <x:c r="L136" s="5" t="str">
        <x:v>N/A: zero independent human Gold labels; AI must not be promoted to human truth</x:v>
      </x:c>
    </x:row>
    <x:row r="137" ht="20" hidden="0" customHeight="1">
      <x:c r="A137" s="5" t="str">
        <x:v>paired_full</x:v>
      </x:c>
      <x:c r="B137" s="5" t="str">
        <x:v>development</x:v>
      </x:c>
      <x:c r="C137" s="5" t="str">
        <x:v>D3_FULL</x:v>
      </x:c>
      <x:c r="D137" s="5" t="str">
        <x:v>multiple_contributions_gold_accuracy</x:v>
      </x:c>
      <x:c r="E137" s="5"/>
      <x:c r="F137" s="5"/>
      <x:c r="G137" s="10" t="str">
        <x:f>IF(COUNTBLANK(E137:F137)&gt;0,"N/A",IF(F137=0,"N/A",E137/F137))</x:f>
        <x:v>N/A</x:v>
      </x:c>
      <x:c r="H137" s="5" t="str">
        <x:v>Gold</x:v>
      </x:c>
      <x:c r="I137" s="5" t="n">
        <x:v>0</x:v>
      </x:c>
      <x:c r="J137" s="5" t="n">
        <x:v>0</x:v>
      </x:c>
      <x:c r="K137" s="5" t="str">
        <x:v>rate</x:v>
      </x:c>
      <x:c r="L137" s="5" t="str">
        <x:v>N/A: zero independent human Gold labels; AI must not be promoted to human truth</x:v>
      </x:c>
    </x:row>
    <x:row r="138" ht="20" hidden="0" customHeight="1">
      <x:c r="A138" s="5" t="str">
        <x:v>paired_ablation</x:v>
      </x:c>
      <x:c r="B138" s="5" t="str">
        <x:v>development</x:v>
      </x:c>
      <x:c r="C138" s="5" t="str">
        <x:v>D2_ARCHIVED</x:v>
      </x:c>
      <x:c r="D138" s="5" t="str">
        <x:v>technical_object_correct_rate</x:v>
      </x:c>
      <x:c r="E138" s="5" t="n">
        <x:v>24</x:v>
      </x:c>
      <x:c r="F138" s="5" t="n">
        <x:v>28</x:v>
      </x:c>
      <x:c r="G138" s="10" t="n">
        <x:f>IF(COUNTBLANK(E138:F138)&gt;0,"N/A",IF(F138=0,"N/A",E138/F138))</x:f>
        <x:v>0.8571428571428571</x:v>
      </x:c>
      <x:c r="H138" s="5" t="str">
        <x:v>Silver</x:v>
      </x:c>
      <x:c r="I138" s="5" t="n">
        <x:v>28</x:v>
      </x:c>
      <x:c r="J138" s="5" t="n">
        <x:v>0</x:v>
      </x:c>
      <x:c r="K138" s="5" t="str">
        <x:v>rate</x:v>
      </x:c>
      <x:c r="L138" s="5" t="str">
        <x:v>Correct / {Correct,Partially Correct,Incorrect}; insufficient and uncertain excluded; same-model Silver</x:v>
      </x:c>
    </x:row>
    <x:row r="139" ht="20" hidden="0" customHeight="1">
      <x:c r="A139" s="5" t="str">
        <x:v>paired_ablation</x:v>
      </x:c>
      <x:c r="B139" s="5" t="str">
        <x:v>development</x:v>
      </x:c>
      <x:c r="C139" s="5" t="str">
        <x:v>D2_ARCHIVED</x:v>
      </x:c>
      <x:c r="D139" s="5" t="str">
        <x:v>technical_object_partially_correct_rate</x:v>
      </x:c>
      <x:c r="E139" s="5" t="n">
        <x:v>4</x:v>
      </x:c>
      <x:c r="F139" s="5" t="n">
        <x:v>28</x:v>
      </x:c>
      <x:c r="G139" s="10" t="n">
        <x:f>IF(COUNTBLANK(E139:F139)&gt;0,"N/A",IF(F139=0,"N/A",E139/F139))</x:f>
        <x:v>0.14285714285714285</x:v>
      </x:c>
      <x:c r="H139" s="5" t="str">
        <x:v>Silver</x:v>
      </x:c>
      <x:c r="I139" s="5" t="n">
        <x:v>28</x:v>
      </x:c>
      <x:c r="J139" s="5" t="n">
        <x:v>0</x:v>
      </x:c>
      <x:c r="K139" s="5" t="str">
        <x:v>rate</x:v>
      </x:c>
      <x:c r="L139" s="5" t="str"/>
    </x:row>
    <x:row r="140" ht="20" hidden="0" customHeight="1">
      <x:c r="A140" s="5" t="str">
        <x:v>paired_ablation</x:v>
      </x:c>
      <x:c r="B140" s="5" t="str">
        <x:v>development</x:v>
      </x:c>
      <x:c r="C140" s="5" t="str">
        <x:v>D2_ARCHIVED</x:v>
      </x:c>
      <x:c r="D140" s="5" t="str">
        <x:v>technical_problem_correct_rate</x:v>
      </x:c>
      <x:c r="E140" s="5" t="n">
        <x:v>16</x:v>
      </x:c>
      <x:c r="F140" s="5" t="n">
        <x:v>21</x:v>
      </x:c>
      <x:c r="G140" s="10" t="n">
        <x:f>IF(COUNTBLANK(E140:F140)&gt;0,"N/A",IF(F140=0,"N/A",E140/F140))</x:f>
        <x:v>0.7619047619047619</x:v>
      </x:c>
      <x:c r="H140" s="5" t="str">
        <x:v>Silver</x:v>
      </x:c>
      <x:c r="I140" s="5" t="n">
        <x:v>28</x:v>
      </x:c>
      <x:c r="J140" s="5" t="n">
        <x:v>7</x:v>
      </x:c>
      <x:c r="K140" s="5" t="str">
        <x:v>rate</x:v>
      </x:c>
      <x:c r="L140" s="5" t="str">
        <x:v>Correct / {Correct,Partially Correct,Incorrect}; insufficient and uncertain excluded; same-model Silver</x:v>
      </x:c>
    </x:row>
    <x:row r="141" ht="20" hidden="0" customHeight="1">
      <x:c r="A141" s="5" t="str">
        <x:v>paired_ablation</x:v>
      </x:c>
      <x:c r="B141" s="5" t="str">
        <x:v>development</x:v>
      </x:c>
      <x:c r="C141" s="5" t="str">
        <x:v>D2_ARCHIVED</x:v>
      </x:c>
      <x:c r="D141" s="5" t="str">
        <x:v>technical_problem_partially_correct_rate</x:v>
      </x:c>
      <x:c r="E141" s="5" t="n">
        <x:v>3</x:v>
      </x:c>
      <x:c r="F141" s="5" t="n">
        <x:v>21</x:v>
      </x:c>
      <x:c r="G141" s="10" t="n">
        <x:f>IF(COUNTBLANK(E141:F141)&gt;0,"N/A",IF(F141=0,"N/A",E141/F141))</x:f>
        <x:v>0.14285714285714285</x:v>
      </x:c>
      <x:c r="H141" s="5" t="str">
        <x:v>Silver</x:v>
      </x:c>
      <x:c r="I141" s="5" t="n">
        <x:v>28</x:v>
      </x:c>
      <x:c r="J141" s="5" t="n">
        <x:v>7</x:v>
      </x:c>
      <x:c r="K141" s="5" t="str">
        <x:v>rate</x:v>
      </x:c>
      <x:c r="L141" s="5" t="str"/>
    </x:row>
    <x:row r="142" ht="20" hidden="0" customHeight="1">
      <x:c r="A142" s="5" t="str">
        <x:v>paired_ablation</x:v>
      </x:c>
      <x:c r="B142" s="5" t="str">
        <x:v>development</x:v>
      </x:c>
      <x:c r="C142" s="5" t="str">
        <x:v>D2_ARCHIVED</x:v>
      </x:c>
      <x:c r="D142" s="5" t="str">
        <x:v>technical_mechanism_correct_rate</x:v>
      </x:c>
      <x:c r="E142" s="5" t="n">
        <x:v>19</x:v>
      </x:c>
      <x:c r="F142" s="5" t="n">
        <x:v>25</x:v>
      </x:c>
      <x:c r="G142" s="10" t="n">
        <x:f>IF(COUNTBLANK(E142:F142)&gt;0,"N/A",IF(F142=0,"N/A",E142/F142))</x:f>
        <x:v>0.76</x:v>
      </x:c>
      <x:c r="H142" s="5" t="str">
        <x:v>Silver</x:v>
      </x:c>
      <x:c r="I142" s="5" t="n">
        <x:v>28</x:v>
      </x:c>
      <x:c r="J142" s="5" t="n">
        <x:v>3</x:v>
      </x:c>
      <x:c r="K142" s="5" t="str">
        <x:v>rate</x:v>
      </x:c>
      <x:c r="L142" s="5" t="str">
        <x:v>Correct / {Correct,Partially Correct,Incorrect}; insufficient and uncertain excluded; same-model Silver</x:v>
      </x:c>
    </x:row>
    <x:row r="143" ht="20" hidden="0" customHeight="1">
      <x:c r="A143" s="5" t="str">
        <x:v>paired_ablation</x:v>
      </x:c>
      <x:c r="B143" s="5" t="str">
        <x:v>development</x:v>
      </x:c>
      <x:c r="C143" s="5" t="str">
        <x:v>D2_ARCHIVED</x:v>
      </x:c>
      <x:c r="D143" s="5" t="str">
        <x:v>technical_mechanism_partially_correct_rate</x:v>
      </x:c>
      <x:c r="E143" s="5" t="n">
        <x:v>6</x:v>
      </x:c>
      <x:c r="F143" s="5" t="n">
        <x:v>25</x:v>
      </x:c>
      <x:c r="G143" s="10" t="n">
        <x:f>IF(COUNTBLANK(E143:F143)&gt;0,"N/A",IF(F143=0,"N/A",E143/F143))</x:f>
        <x:v>0.24</x:v>
      </x:c>
      <x:c r="H143" s="5" t="str">
        <x:v>Silver</x:v>
      </x:c>
      <x:c r="I143" s="5" t="n">
        <x:v>28</x:v>
      </x:c>
      <x:c r="J143" s="5" t="n">
        <x:v>3</x:v>
      </x:c>
      <x:c r="K143" s="5" t="str">
        <x:v>rate</x:v>
      </x:c>
      <x:c r="L143" s="5" t="str"/>
    </x:row>
    <x:row r="144" ht="20" hidden="0" customHeight="1">
      <x:c r="A144" s="5" t="str">
        <x:v>paired_ablation</x:v>
      </x:c>
      <x:c r="B144" s="5" t="str">
        <x:v>development</x:v>
      </x:c>
      <x:c r="C144" s="5" t="str">
        <x:v>D2_ARCHIVED</x:v>
      </x:c>
      <x:c r="D144" s="5" t="str">
        <x:v>materials_correct_rate</x:v>
      </x:c>
      <x:c r="E144" s="5" t="n">
        <x:v>6</x:v>
      </x:c>
      <x:c r="F144" s="5" t="n">
        <x:v>17</x:v>
      </x:c>
      <x:c r="G144" s="10" t="n">
        <x:f>IF(COUNTBLANK(E144:F144)&gt;0,"N/A",IF(F144=0,"N/A",E144/F144))</x:f>
        <x:v>0.35294117647058826</x:v>
      </x:c>
      <x:c r="H144" s="5" t="str">
        <x:v>Silver</x:v>
      </x:c>
      <x:c r="I144" s="5" t="n">
        <x:v>28</x:v>
      </x:c>
      <x:c r="J144" s="5" t="n">
        <x:v>11</x:v>
      </x:c>
      <x:c r="K144" s="5" t="str">
        <x:v>rate</x:v>
      </x:c>
      <x:c r="L144" s="5" t="str">
        <x:v>Correct / {Correct,Partially Correct,Incorrect}; insufficient and uncertain excluded; same-model Silver</x:v>
      </x:c>
    </x:row>
    <x:row r="145" ht="20" hidden="0" customHeight="1">
      <x:c r="A145" s="5" t="str">
        <x:v>paired_ablation</x:v>
      </x:c>
      <x:c r="B145" s="5" t="str">
        <x:v>development</x:v>
      </x:c>
      <x:c r="C145" s="5" t="str">
        <x:v>D2_ARCHIVED</x:v>
      </x:c>
      <x:c r="D145" s="5" t="str">
        <x:v>materials_partially_correct_rate</x:v>
      </x:c>
      <x:c r="E145" s="5" t="n">
        <x:v>11</x:v>
      </x:c>
      <x:c r="F145" s="5" t="n">
        <x:v>17</x:v>
      </x:c>
      <x:c r="G145" s="10" t="n">
        <x:f>IF(COUNTBLANK(E145:F145)&gt;0,"N/A",IF(F145=0,"N/A",E145/F145))</x:f>
        <x:v>0.6470588235294118</x:v>
      </x:c>
      <x:c r="H145" s="5" t="str">
        <x:v>Silver</x:v>
      </x:c>
      <x:c r="I145" s="5" t="n">
        <x:v>28</x:v>
      </x:c>
      <x:c r="J145" s="5" t="n">
        <x:v>11</x:v>
      </x:c>
      <x:c r="K145" s="5" t="str">
        <x:v>rate</x:v>
      </x:c>
      <x:c r="L145" s="5" t="str"/>
    </x:row>
    <x:row r="146" ht="20" hidden="0" customHeight="1">
      <x:c r="A146" s="5" t="str">
        <x:v>paired_ablation</x:v>
      </x:c>
      <x:c r="B146" s="5" t="str">
        <x:v>development</x:v>
      </x:c>
      <x:c r="C146" s="5" t="str">
        <x:v>D2_ARCHIVED</x:v>
      </x:c>
      <x:c r="D146" s="5" t="str">
        <x:v>process_method_correct_rate</x:v>
      </x:c>
      <x:c r="E146" s="5" t="n">
        <x:v>9</x:v>
      </x:c>
      <x:c r="F146" s="5" t="n">
        <x:v>11</x:v>
      </x:c>
      <x:c r="G146" s="10" t="n">
        <x:f>IF(COUNTBLANK(E146:F146)&gt;0,"N/A",IF(F146=0,"N/A",E146/F146))</x:f>
        <x:v>0.8181818181818182</x:v>
      </x:c>
      <x:c r="H146" s="5" t="str">
        <x:v>Silver</x:v>
      </x:c>
      <x:c r="I146" s="5" t="n">
        <x:v>28</x:v>
      </x:c>
      <x:c r="J146" s="5" t="n">
        <x:v>17</x:v>
      </x:c>
      <x:c r="K146" s="5" t="str">
        <x:v>rate</x:v>
      </x:c>
      <x:c r="L146" s="5" t="str">
        <x:v>Correct / {Correct,Partially Correct,Incorrect}; insufficient and uncertain excluded; same-model Silver</x:v>
      </x:c>
    </x:row>
    <x:row r="147" ht="20" hidden="0" customHeight="1">
      <x:c r="A147" s="5" t="str">
        <x:v>paired_ablation</x:v>
      </x:c>
      <x:c r="B147" s="5" t="str">
        <x:v>development</x:v>
      </x:c>
      <x:c r="C147" s="5" t="str">
        <x:v>D2_ARCHIVED</x:v>
      </x:c>
      <x:c r="D147" s="5" t="str">
        <x:v>process_method_partially_correct_rate</x:v>
      </x:c>
      <x:c r="E147" s="5" t="n">
        <x:v>1</x:v>
      </x:c>
      <x:c r="F147" s="5" t="n">
        <x:v>11</x:v>
      </x:c>
      <x:c r="G147" s="10" t="n">
        <x:f>IF(COUNTBLANK(E147:F147)&gt;0,"N/A",IF(F147=0,"N/A",E147/F147))</x:f>
        <x:v>0.09090909090909091</x:v>
      </x:c>
      <x:c r="H147" s="5" t="str">
        <x:v>Silver</x:v>
      </x:c>
      <x:c r="I147" s="5" t="n">
        <x:v>28</x:v>
      </x:c>
      <x:c r="J147" s="5" t="n">
        <x:v>17</x:v>
      </x:c>
      <x:c r="K147" s="5" t="str">
        <x:v>rate</x:v>
      </x:c>
      <x:c r="L147" s="5" t="str"/>
    </x:row>
    <x:row r="148" ht="20" hidden="0" customHeight="1">
      <x:c r="A148" s="5" t="str">
        <x:v>paired_ablation</x:v>
      </x:c>
      <x:c r="B148" s="5" t="str">
        <x:v>development</x:v>
      </x:c>
      <x:c r="C148" s="5" t="str">
        <x:v>D2_ARCHIVED</x:v>
      </x:c>
      <x:c r="D148" s="5" t="str">
        <x:v>process_order_correct_rate</x:v>
      </x:c>
      <x:c r="E148" s="5" t="n">
        <x:v>3</x:v>
      </x:c>
      <x:c r="F148" s="5" t="n">
        <x:v>3</x:v>
      </x:c>
      <x:c r="G148" s="10" t="n">
        <x:f>IF(COUNTBLANK(E148:F148)&gt;0,"N/A",IF(F148=0,"N/A",E148/F148))</x:f>
        <x:v>1</x:v>
      </x:c>
      <x:c r="H148" s="5" t="str">
        <x:v>Silver</x:v>
      </x:c>
      <x:c r="I148" s="5" t="n">
        <x:v>28</x:v>
      </x:c>
      <x:c r="J148" s="5" t="n">
        <x:v>25</x:v>
      </x:c>
      <x:c r="K148" s="5" t="str">
        <x:v>rate</x:v>
      </x:c>
      <x:c r="L148" s="5" t="str">
        <x:v>Correct / {Correct,Partially Correct,Incorrect}; insufficient and uncertain excluded; same-model Silver</x:v>
      </x:c>
    </x:row>
    <x:row r="149" ht="20" hidden="0" customHeight="1">
      <x:c r="A149" s="5" t="str">
        <x:v>paired_ablation</x:v>
      </x:c>
      <x:c r="B149" s="5" t="str">
        <x:v>development</x:v>
      </x:c>
      <x:c r="C149" s="5" t="str">
        <x:v>D2_ARCHIVED</x:v>
      </x:c>
      <x:c r="D149" s="5" t="str">
        <x:v>process_order_partially_correct_rate</x:v>
      </x:c>
      <x:c r="E149" s="5" t="n">
        <x:v>0</x:v>
      </x:c>
      <x:c r="F149" s="5" t="n">
        <x:v>3</x:v>
      </x:c>
      <x:c r="G149" s="10" t="n">
        <x:f>IF(COUNTBLANK(E149:F149)&gt;0,"N/A",IF(F149=0,"N/A",E149/F149))</x:f>
        <x:v>0</x:v>
      </x:c>
      <x:c r="H149" s="5" t="str">
        <x:v>Silver</x:v>
      </x:c>
      <x:c r="I149" s="5" t="n">
        <x:v>28</x:v>
      </x:c>
      <x:c r="J149" s="5" t="n">
        <x:v>25</x:v>
      </x:c>
      <x:c r="K149" s="5" t="str">
        <x:v>rate</x:v>
      </x:c>
      <x:c r="L149" s="5" t="str"/>
    </x:row>
    <x:row r="150" ht="20" hidden="0" customHeight="1">
      <x:c r="A150" s="5" t="str">
        <x:v>paired_ablation</x:v>
      </x:c>
      <x:c r="B150" s="5" t="str">
        <x:v>development</x:v>
      </x:c>
      <x:c r="C150" s="5" t="str">
        <x:v>D2_ARCHIVED</x:v>
      </x:c>
      <x:c r="D150" s="5" t="str">
        <x:v>parameters_correct_rate</x:v>
      </x:c>
      <x:c r="E150" s="5" t="n">
        <x:v>7</x:v>
      </x:c>
      <x:c r="F150" s="5" t="n">
        <x:v>8</x:v>
      </x:c>
      <x:c r="G150" s="10" t="n">
        <x:f>IF(COUNTBLANK(E150:F150)&gt;0,"N/A",IF(F150=0,"N/A",E150/F150))</x:f>
        <x:v>0.875</x:v>
      </x:c>
      <x:c r="H150" s="5" t="str">
        <x:v>Silver</x:v>
      </x:c>
      <x:c r="I150" s="5" t="n">
        <x:v>28</x:v>
      </x:c>
      <x:c r="J150" s="5" t="n">
        <x:v>20</x:v>
      </x:c>
      <x:c r="K150" s="5" t="str">
        <x:v>rate</x:v>
      </x:c>
      <x:c r="L150" s="5" t="str">
        <x:v>Correct / {Correct,Partially Correct,Incorrect}; insufficient and uncertain excluded; same-model Silver</x:v>
      </x:c>
    </x:row>
    <x:row r="151" ht="20" hidden="0" customHeight="1">
      <x:c r="A151" s="5" t="str">
        <x:v>paired_ablation</x:v>
      </x:c>
      <x:c r="B151" s="5" t="str">
        <x:v>development</x:v>
      </x:c>
      <x:c r="C151" s="5" t="str">
        <x:v>D2_ARCHIVED</x:v>
      </x:c>
      <x:c r="D151" s="5" t="str">
        <x:v>parameters_partially_correct_rate</x:v>
      </x:c>
      <x:c r="E151" s="5" t="n">
        <x:v>0</x:v>
      </x:c>
      <x:c r="F151" s="5" t="n">
        <x:v>8</x:v>
      </x:c>
      <x:c r="G151" s="10" t="n">
        <x:f>IF(COUNTBLANK(E151:F151)&gt;0,"N/A",IF(F151=0,"N/A",E151/F151))</x:f>
        <x:v>0</x:v>
      </x:c>
      <x:c r="H151" s="5" t="str">
        <x:v>Silver</x:v>
      </x:c>
      <x:c r="I151" s="5" t="n">
        <x:v>28</x:v>
      </x:c>
      <x:c r="J151" s="5" t="n">
        <x:v>20</x:v>
      </x:c>
      <x:c r="K151" s="5" t="str">
        <x:v>rate</x:v>
      </x:c>
      <x:c r="L151" s="5" t="str"/>
    </x:row>
    <x:row r="152" ht="20" hidden="0" customHeight="1">
      <x:c r="A152" s="5" t="str">
        <x:v>paired_ablation</x:v>
      </x:c>
      <x:c r="B152" s="5" t="str">
        <x:v>development</x:v>
      </x:c>
      <x:c r="C152" s="5" t="str">
        <x:v>D2_ARCHIVED</x:v>
      </x:c>
      <x:c r="D152" s="5" t="str">
        <x:v>effects_correct_rate</x:v>
      </x:c>
      <x:c r="E152" s="5" t="n">
        <x:v>19</x:v>
      </x:c>
      <x:c r="F152" s="5" t="n">
        <x:v>22</x:v>
      </x:c>
      <x:c r="G152" s="10" t="n">
        <x:f>IF(COUNTBLANK(E152:F152)&gt;0,"N/A",IF(F152=0,"N/A",E152/F152))</x:f>
        <x:v>0.8636363636363636</x:v>
      </x:c>
      <x:c r="H152" s="5" t="str">
        <x:v>Silver</x:v>
      </x:c>
      <x:c r="I152" s="5" t="n">
        <x:v>28</x:v>
      </x:c>
      <x:c r="J152" s="5" t="n">
        <x:v>6</x:v>
      </x:c>
      <x:c r="K152" s="5" t="str">
        <x:v>rate</x:v>
      </x:c>
      <x:c r="L152" s="5" t="str">
        <x:v>Correct / {Correct,Partially Correct,Incorrect}; insufficient and uncertain excluded; same-model Silver</x:v>
      </x:c>
    </x:row>
    <x:row r="153" ht="20" hidden="0" customHeight="1">
      <x:c r="A153" s="5" t="str">
        <x:v>paired_ablation</x:v>
      </x:c>
      <x:c r="B153" s="5" t="str">
        <x:v>development</x:v>
      </x:c>
      <x:c r="C153" s="5" t="str">
        <x:v>D2_ARCHIVED</x:v>
      </x:c>
      <x:c r="D153" s="5" t="str">
        <x:v>effects_partially_correct_rate</x:v>
      </x:c>
      <x:c r="E153" s="5" t="n">
        <x:v>2</x:v>
      </x:c>
      <x:c r="F153" s="5" t="n">
        <x:v>22</x:v>
      </x:c>
      <x:c r="G153" s="10" t="n">
        <x:f>IF(COUNTBLANK(E153:F153)&gt;0,"N/A",IF(F153=0,"N/A",E153/F153))</x:f>
        <x:v>0.09090909090909091</x:v>
      </x:c>
      <x:c r="H153" s="5" t="str">
        <x:v>Silver</x:v>
      </x:c>
      <x:c r="I153" s="5" t="n">
        <x:v>28</x:v>
      </x:c>
      <x:c r="J153" s="5" t="n">
        <x:v>6</x:v>
      </x:c>
      <x:c r="K153" s="5" t="str">
        <x:v>rate</x:v>
      </x:c>
      <x:c r="L153" s="5" t="str"/>
    </x:row>
    <x:row r="154" ht="20" hidden="0" customHeight="1">
      <x:c r="A154" s="5" t="str">
        <x:v>paired_ablation</x:v>
      </x:c>
      <x:c r="B154" s="5" t="str">
        <x:v>development</x:v>
      </x:c>
      <x:c r="C154" s="5" t="str">
        <x:v>D2_ARCHIVED</x:v>
      </x:c>
      <x:c r="D154" s="5" t="str">
        <x:v>multiple_contributions_correct_rate</x:v>
      </x:c>
      <x:c r="E154" s="5" t="n">
        <x:v>18</x:v>
      </x:c>
      <x:c r="F154" s="5" t="n">
        <x:v>26</x:v>
      </x:c>
      <x:c r="G154" s="10" t="n">
        <x:f>IF(COUNTBLANK(E154:F154)&gt;0,"N/A",IF(F154=0,"N/A",E154/F154))</x:f>
        <x:v>0.6923076923076923</x:v>
      </x:c>
      <x:c r="H154" s="5" t="str">
        <x:v>Silver</x:v>
      </x:c>
      <x:c r="I154" s="5" t="n">
        <x:v>28</x:v>
      </x:c>
      <x:c r="J154" s="5" t="n">
        <x:v>2</x:v>
      </x:c>
      <x:c r="K154" s="5" t="str">
        <x:v>rate</x:v>
      </x:c>
      <x:c r="L154" s="5" t="str">
        <x:v>Correct / {Correct,Partially Correct,Incorrect}; insufficient and uncertain excluded; same-model Silver</x:v>
      </x:c>
    </x:row>
    <x:row r="155" ht="20" hidden="0" customHeight="1">
      <x:c r="A155" s="5" t="str">
        <x:v>paired_ablation</x:v>
      </x:c>
      <x:c r="B155" s="5" t="str">
        <x:v>development</x:v>
      </x:c>
      <x:c r="C155" s="5" t="str">
        <x:v>D2_ARCHIVED</x:v>
      </x:c>
      <x:c r="D155" s="5" t="str">
        <x:v>multiple_contributions_partially_correct_rate</x:v>
      </x:c>
      <x:c r="E155" s="5" t="n">
        <x:v>7</x:v>
      </x:c>
      <x:c r="F155" s="5" t="n">
        <x:v>26</x:v>
      </x:c>
      <x:c r="G155" s="10" t="n">
        <x:f>IF(COUNTBLANK(E155:F155)&gt;0,"N/A",IF(F155=0,"N/A",E155/F155))</x:f>
        <x:v>0.2692307692307692</x:v>
      </x:c>
      <x:c r="H155" s="5" t="str">
        <x:v>Silver</x:v>
      </x:c>
      <x:c r="I155" s="5" t="n">
        <x:v>28</x:v>
      </x:c>
      <x:c r="J155" s="5" t="n">
        <x:v>2</x:v>
      </x:c>
      <x:c r="K155" s="5" t="str">
        <x:v>rate</x:v>
      </x:c>
      <x:c r="L155" s="5" t="str"/>
    </x:row>
    <x:row r="156" ht="20" hidden="0" customHeight="1">
      <x:c r="A156" s="5" t="str">
        <x:v>paired_ablation</x:v>
      </x:c>
      <x:c r="B156" s="5" t="str">
        <x:v>development</x:v>
      </x:c>
      <x:c r="C156" s="5" t="str">
        <x:v>D2_ARCHIVED</x:v>
      </x:c>
      <x:c r="D156" s="5" t="str">
        <x:v>hallucination_correct_rate</x:v>
      </x:c>
      <x:c r="E156" s="5" t="n">
        <x:v>20</x:v>
      </x:c>
      <x:c r="F156" s="5" t="n">
        <x:v>28</x:v>
      </x:c>
      <x:c r="G156" s="10" t="n">
        <x:f>IF(COUNTBLANK(E156:F156)&gt;0,"N/A",IF(F156=0,"N/A",E156/F156))</x:f>
        <x:v>0.7142857142857143</x:v>
      </x:c>
      <x:c r="H156" s="5" t="str">
        <x:v>Silver</x:v>
      </x:c>
      <x:c r="I156" s="5" t="n">
        <x:v>28</x:v>
      </x:c>
      <x:c r="J156" s="5" t="n">
        <x:v>0</x:v>
      </x:c>
      <x:c r="K156" s="5" t="str">
        <x:v>rate</x:v>
      </x:c>
      <x:c r="L156" s="5" t="str">
        <x:v>Correct / {Correct,Partially Correct,Incorrect}; insufficient and uncertain excluded; same-model Silver</x:v>
      </x:c>
    </x:row>
    <x:row r="157" ht="20" hidden="0" customHeight="1">
      <x:c r="A157" s="5" t="str">
        <x:v>paired_ablation</x:v>
      </x:c>
      <x:c r="B157" s="5" t="str">
        <x:v>development</x:v>
      </x:c>
      <x:c r="C157" s="5" t="str">
        <x:v>D2_ARCHIVED</x:v>
      </x:c>
      <x:c r="D157" s="5" t="str">
        <x:v>hallucination_partially_correct_rate</x:v>
      </x:c>
      <x:c r="E157" s="5" t="n">
        <x:v>5</x:v>
      </x:c>
      <x:c r="F157" s="5" t="n">
        <x:v>28</x:v>
      </x:c>
      <x:c r="G157" s="10" t="n">
        <x:f>IF(COUNTBLANK(E157:F157)&gt;0,"N/A",IF(F157=0,"N/A",E157/F157))</x:f>
        <x:v>0.17857142857142858</x:v>
      </x:c>
      <x:c r="H157" s="5" t="str">
        <x:v>Silver</x:v>
      </x:c>
      <x:c r="I157" s="5" t="n">
        <x:v>28</x:v>
      </x:c>
      <x:c r="J157" s="5" t="n">
        <x:v>0</x:v>
      </x:c>
      <x:c r="K157" s="5" t="str">
        <x:v>rate</x:v>
      </x:c>
      <x:c r="L157" s="5" t="str"/>
    </x:row>
    <x:row r="158" ht="31" hidden="0" customHeight="1">
      <x:c r="A158" s="5" t="str">
        <x:v>paired_ablation</x:v>
      </x:c>
      <x:c r="B158" s="5" t="str">
        <x:v>development</x:v>
      </x:c>
      <x:c r="C158" s="5" t="str">
        <x:v>D2_ARCHIVED</x:v>
      </x:c>
      <x:c r="D158" s="5" t="str">
        <x:v>contribution_coverage</x:v>
      </x:c>
      <x:c r="E158" s="5" t="n">
        <x:v>26</x:v>
      </x:c>
      <x:c r="F158" s="5" t="n">
        <x:v>32</x:v>
      </x:c>
      <x:c r="G158" s="10" t="n">
        <x:f>IF(COUNTBLANK(E158:F158)&gt;0,"N/A",IF(F158=0,"N/A",E158/F158))</x:f>
        <x:v>0.8125</x:v>
      </x:c>
      <x:c r="H158" s="5" t="str">
        <x:v>Silver</x:v>
      </x:c>
      <x:c r="I158" s="5" t="n">
        <x:v>28</x:v>
      </x:c>
      <x:c r="J158" s="5" t="n">
        <x:v>3</x:v>
      </x:c>
      <x:c r="K158" s="5" t="str">
        <x:v>rate</x:v>
      </x:c>
      <x:c r="L158" s="5" t="str">
        <x:v>Source-reference denominators required consistent across matched configs; disagreements/zero applicability excluded</x:v>
      </x:c>
    </x:row>
    <x:row r="159" ht="31" hidden="0" customHeight="1">
      <x:c r="A159" s="5" t="str">
        <x:v>paired_ablation</x:v>
      </x:c>
      <x:c r="B159" s="5" t="str">
        <x:v>development</x:v>
      </x:c>
      <x:c r="C159" s="5" t="str">
        <x:v>D2_ARCHIVED</x:v>
      </x:c>
      <x:c r="D159" s="5" t="str">
        <x:v>material_retention</x:v>
      </x:c>
      <x:c r="E159" s="5" t="n">
        <x:v>31</x:v>
      </x:c>
      <x:c r="F159" s="5" t="n">
        <x:v>45</x:v>
      </x:c>
      <x:c r="G159" s="10" t="n">
        <x:f>IF(COUNTBLANK(E159:F159)&gt;0,"N/A",IF(F159=0,"N/A",E159/F159))</x:f>
        <x:v>0.6888888888888889</x:v>
      </x:c>
      <x:c r="H159" s="5" t="str">
        <x:v>Silver</x:v>
      </x:c>
      <x:c r="I159" s="5" t="n">
        <x:v>28</x:v>
      </x:c>
      <x:c r="J159" s="5" t="n">
        <x:v>8</x:v>
      </x:c>
      <x:c r="K159" s="5" t="str">
        <x:v>rate</x:v>
      </x:c>
      <x:c r="L159" s="5" t="str">
        <x:v>Source-reference denominators required consistent across matched configs; disagreements/zero applicability excluded</x:v>
      </x:c>
    </x:row>
    <x:row r="160" ht="31" hidden="0" customHeight="1">
      <x:c r="A160" s="5" t="str">
        <x:v>paired_ablation</x:v>
      </x:c>
      <x:c r="B160" s="5" t="str">
        <x:v>development</x:v>
      </x:c>
      <x:c r="C160" s="5" t="str">
        <x:v>D2_ARCHIVED</x:v>
      </x:c>
      <x:c r="D160" s="5" t="str">
        <x:v>process_retention</x:v>
      </x:c>
      <x:c r="E160" s="5" t="n">
        <x:v>22</x:v>
      </x:c>
      <x:c r="F160" s="5" t="n">
        <x:v>37</x:v>
      </x:c>
      <x:c r="G160" s="10" t="n">
        <x:f>IF(COUNTBLANK(E160:F160)&gt;0,"N/A",IF(F160=0,"N/A",E160/F160))</x:f>
        <x:v>0.5945945945945946</x:v>
      </x:c>
      <x:c r="H160" s="5" t="str">
        <x:v>Silver</x:v>
      </x:c>
      <x:c r="I160" s="5" t="n">
        <x:v>28</x:v>
      </x:c>
      <x:c r="J160" s="5" t="n">
        <x:v>12</x:v>
      </x:c>
      <x:c r="K160" s="5" t="str">
        <x:v>rate</x:v>
      </x:c>
      <x:c r="L160" s="5" t="str">
        <x:v>Source-reference denominators required consistent across matched configs; disagreements/zero applicability excluded</x:v>
      </x:c>
    </x:row>
    <x:row r="161" ht="20" hidden="0" customHeight="1">
      <x:c r="A161" s="5" t="str">
        <x:v>paired_ablation</x:v>
      </x:c>
      <x:c r="B161" s="5" t="str">
        <x:v>development</x:v>
      </x:c>
      <x:c r="C161" s="5" t="str">
        <x:v>D2_ARCHIVED</x:v>
      </x:c>
      <x:c r="D161" s="5" t="str">
        <x:v>multi_contribution_omission_rate</x:v>
      </x:c>
      <x:c r="E161" s="5" t="n">
        <x:v>3</x:v>
      </x:c>
      <x:c r="F161" s="5" t="n">
        <x:v>3</x:v>
      </x:c>
      <x:c r="G161" s="10" t="n">
        <x:f>IF(COUNTBLANK(E161:F161)&gt;0,"N/A",IF(F161=0,"N/A",E161/F161))</x:f>
        <x:v>1</x:v>
      </x:c>
      <x:c r="H161" s="5" t="str">
        <x:v>Silver</x:v>
      </x:c>
      <x:c r="I161" s="5" t="n">
        <x:v>28</x:v>
      </x:c>
      <x:c r="J161" s="5" t="n">
        <x:v>25</x:v>
      </x:c>
      <x:c r="K161" s="5" t="str">
        <x:v>rate</x:v>
      </x:c>
      <x:c r="L161" s="5" t="str"/>
    </x:row>
    <x:row r="162" ht="20" hidden="0" customHeight="1">
      <x:c r="A162" s="5" t="str">
        <x:v>paired_ablation</x:v>
      </x:c>
      <x:c r="B162" s="5" t="str">
        <x:v>development</x:v>
      </x:c>
      <x:c r="C162" s="5" t="str">
        <x:v>D2_ARCHIVED</x:v>
      </x:c>
      <x:c r="D162" s="5" t="str">
        <x:v>full_conclusion_support_rate</x:v>
      </x:c>
      <x:c r="E162" s="5" t="n">
        <x:v>12</x:v>
      </x:c>
      <x:c r="F162" s="5" t="n">
        <x:v>26</x:v>
      </x:c>
      <x:c r="G162" s="10" t="n">
        <x:f>IF(COUNTBLANK(E162:F162)&gt;0,"N/A",IF(F162=0,"N/A",E162/F162))</x:f>
        <x:v>0.46153846153846156</x:v>
      </x:c>
      <x:c r="H162" s="5" t="str">
        <x:v>Silver</x:v>
      </x:c>
      <x:c r="I162" s="5" t="n">
        <x:v>28</x:v>
      </x:c>
      <x:c r="J162" s="5" t="n">
        <x:v>2</x:v>
      </x:c>
      <x:c r="K162" s="5" t="str">
        <x:v>rate</x:v>
      </x:c>
      <x:c r="L162" s="5" t="str"/>
    </x:row>
    <x:row r="163" ht="20" hidden="0" customHeight="1">
      <x:c r="A163" s="5" t="str">
        <x:v>paired_ablation</x:v>
      </x:c>
      <x:c r="B163" s="5" t="str">
        <x:v>development</x:v>
      </x:c>
      <x:c r="C163" s="5" t="str">
        <x:v>D2_ARCHIVED</x:v>
      </x:c>
      <x:c r="D163" s="5" t="str">
        <x:v>mean_contributions_per_family</x:v>
      </x:c>
      <x:c r="E163" s="5" t="n">
        <x:v>26</x:v>
      </x:c>
      <x:c r="F163" s="5" t="n">
        <x:v>28</x:v>
      </x:c>
      <x:c r="G163" s="11" t="n">
        <x:f>IF(COUNTBLANK(E163:F163)&gt;0,"N/A",IF(F163=0,"N/A",E163/F163))</x:f>
        <x:v>0.9285714285714286</x:v>
      </x:c>
      <x:c r="H163" s="5" t="str">
        <x:v>Silver</x:v>
      </x:c>
      <x:c r="I163" s="5" t="n">
        <x:v>28</x:v>
      </x:c>
      <x:c r="J163" s="5" t="n">
        <x:v>0</x:v>
      </x:c>
      <x:c r="K163" s="5" t="str">
        <x:v>contributions/family</x:v>
      </x:c>
      <x:c r="L163" s="5" t="str"/>
    </x:row>
    <x:row r="164" ht="20" hidden="0" customHeight="1">
      <x:c r="A164" s="5" t="str">
        <x:v>paired_ablation</x:v>
      </x:c>
      <x:c r="B164" s="5" t="str">
        <x:v>development</x:v>
      </x:c>
      <x:c r="C164" s="5" t="str">
        <x:v>D2_ARCHIVED</x:v>
      </x:c>
      <x:c r="D164" s="5" t="str">
        <x:v>oversplit_contribution_rate</x:v>
      </x:c>
      <x:c r="E164" s="5" t="n">
        <x:v>0</x:v>
      </x:c>
      <x:c r="F164" s="5" t="n">
        <x:v>26</x:v>
      </x:c>
      <x:c r="G164" s="10" t="n">
        <x:f>IF(COUNTBLANK(E164:F164)&gt;0,"N/A",IF(F164=0,"N/A",E164/F164))</x:f>
        <x:v>0</x:v>
      </x:c>
      <x:c r="H164" s="5" t="str">
        <x:v>Silver</x:v>
      </x:c>
      <x:c r="I164" s="5" t="n">
        <x:v>28</x:v>
      </x:c>
      <x:c r="J164" s="5" t="n">
        <x:v>0</x:v>
      </x:c>
      <x:c r="K164" s="5" t="str">
        <x:v>rate</x:v>
      </x:c>
      <x:c r="L164" s="5" t="str">
        <x:v>Auditor oversplit units / actual explicit output units; not a human error rate</x:v>
      </x:c>
    </x:row>
    <x:row r="165" ht="20" hidden="0" customHeight="1">
      <x:c r="A165" s="5" t="str">
        <x:v>paired_ablation</x:v>
      </x:c>
      <x:c r="B165" s="5" t="str">
        <x:v>development</x:v>
      </x:c>
      <x:c r="C165" s="5" t="str">
        <x:v>D2_ARCHIVED</x:v>
      </x:c>
      <x:c r="D165" s="5" t="str">
        <x:v>hallucinated_contribution_rate</x:v>
      </x:c>
      <x:c r="E165" s="5" t="n">
        <x:v>10</x:v>
      </x:c>
      <x:c r="F165" s="5" t="n">
        <x:v>26</x:v>
      </x:c>
      <x:c r="G165" s="10" t="n">
        <x:f>IF(COUNTBLANK(E165:F165)&gt;0,"N/A",IF(F165=0,"N/A",E165/F165))</x:f>
        <x:v>0.38461538461538464</x:v>
      </x:c>
      <x:c r="H165" s="5" t="str">
        <x:v>Silver</x:v>
      </x:c>
      <x:c r="I165" s="5" t="n">
        <x:v>28</x:v>
      </x:c>
      <x:c r="J165" s="5" t="n">
        <x:v>0</x:v>
      </x:c>
      <x:c r="K165" s="5" t="str">
        <x:v>rate</x:v>
      </x:c>
      <x:c r="L165" s="5" t="str"/>
    </x:row>
    <x:row r="166" ht="20" hidden="0" customHeight="1">
      <x:c r="A166" s="5" t="str">
        <x:v>paired_ablation</x:v>
      </x:c>
      <x:c r="B166" s="5" t="str">
        <x:v>development</x:v>
      </x:c>
      <x:c r="C166" s="5" t="str">
        <x:v>D2_ARCHIVED</x:v>
      </x:c>
      <x:c r="D166" s="5" t="str">
        <x:v>technical_mechanism_gold_accuracy</x:v>
      </x:c>
      <x:c r="E166" s="5"/>
      <x:c r="F166" s="5"/>
      <x:c r="G166" s="10" t="str">
        <x:f>IF(COUNTBLANK(E166:F166)&gt;0,"N/A",IF(F166=0,"N/A",E166/F166))</x:f>
        <x:v>N/A</x:v>
      </x:c>
      <x:c r="H166" s="5" t="str">
        <x:v>Gold</x:v>
      </x:c>
      <x:c r="I166" s="5" t="n">
        <x:v>0</x:v>
      </x:c>
      <x:c r="J166" s="5" t="n">
        <x:v>0</x:v>
      </x:c>
      <x:c r="K166" s="5" t="str">
        <x:v>rate</x:v>
      </x:c>
      <x:c r="L166" s="5" t="str">
        <x:v>N/A: zero independent human Gold labels; AI must not be promoted to human truth</x:v>
      </x:c>
    </x:row>
    <x:row r="167" ht="20" hidden="0" customHeight="1">
      <x:c r="A167" s="5" t="str">
        <x:v>paired_ablation</x:v>
      </x:c>
      <x:c r="B167" s="5" t="str">
        <x:v>development</x:v>
      </x:c>
      <x:c r="C167" s="5" t="str">
        <x:v>D2_ARCHIVED</x:v>
      </x:c>
      <x:c r="D167" s="5" t="str">
        <x:v>materials_gold_accuracy</x:v>
      </x:c>
      <x:c r="E167" s="5"/>
      <x:c r="F167" s="5"/>
      <x:c r="G167" s="10" t="str">
        <x:f>IF(COUNTBLANK(E167:F167)&gt;0,"N/A",IF(F167=0,"N/A",E167/F167))</x:f>
        <x:v>N/A</x:v>
      </x:c>
      <x:c r="H167" s="5" t="str">
        <x:v>Gold</x:v>
      </x:c>
      <x:c r="I167" s="5" t="n">
        <x:v>0</x:v>
      </x:c>
      <x:c r="J167" s="5" t="n">
        <x:v>0</x:v>
      </x:c>
      <x:c r="K167" s="5" t="str">
        <x:v>rate</x:v>
      </x:c>
      <x:c r="L167" s="5" t="str">
        <x:v>N/A: zero independent human Gold labels; AI must not be promoted to human truth</x:v>
      </x:c>
    </x:row>
    <x:row r="168" ht="20" hidden="0" customHeight="1">
      <x:c r="A168" s="5" t="str">
        <x:v>paired_ablation</x:v>
      </x:c>
      <x:c r="B168" s="5" t="str">
        <x:v>development</x:v>
      </x:c>
      <x:c r="C168" s="5" t="str">
        <x:v>D2_ARCHIVED</x:v>
      </x:c>
      <x:c r="D168" s="5" t="str">
        <x:v>process_method_gold_accuracy</x:v>
      </x:c>
      <x:c r="E168" s="5"/>
      <x:c r="F168" s="5"/>
      <x:c r="G168" s="10" t="str">
        <x:f>IF(COUNTBLANK(E168:F168)&gt;0,"N/A",IF(F168=0,"N/A",E168/F168))</x:f>
        <x:v>N/A</x:v>
      </x:c>
      <x:c r="H168" s="5" t="str">
        <x:v>Gold</x:v>
      </x:c>
      <x:c r="I168" s="5" t="n">
        <x:v>0</x:v>
      </x:c>
      <x:c r="J168" s="5" t="n">
        <x:v>0</x:v>
      </x:c>
      <x:c r="K168" s="5" t="str">
        <x:v>rate</x:v>
      </x:c>
      <x:c r="L168" s="5" t="str">
        <x:v>N/A: zero independent human Gold labels; AI must not be promoted to human truth</x:v>
      </x:c>
    </x:row>
    <x:row r="169" ht="20" hidden="0" customHeight="1">
      <x:c r="A169" s="5" t="str">
        <x:v>paired_ablation</x:v>
      </x:c>
      <x:c r="B169" s="5" t="str">
        <x:v>development</x:v>
      </x:c>
      <x:c r="C169" s="5" t="str">
        <x:v>D2_ARCHIVED</x:v>
      </x:c>
      <x:c r="D169" s="5" t="str">
        <x:v>parameters_gold_accuracy</x:v>
      </x:c>
      <x:c r="E169" s="5"/>
      <x:c r="F169" s="5"/>
      <x:c r="G169" s="10" t="str">
        <x:f>IF(COUNTBLANK(E169:F169)&gt;0,"N/A",IF(F169=0,"N/A",E169/F169))</x:f>
        <x:v>N/A</x:v>
      </x:c>
      <x:c r="H169" s="5" t="str">
        <x:v>Gold</x:v>
      </x:c>
      <x:c r="I169" s="5" t="n">
        <x:v>0</x:v>
      </x:c>
      <x:c r="J169" s="5" t="n">
        <x:v>0</x:v>
      </x:c>
      <x:c r="K169" s="5" t="str">
        <x:v>rate</x:v>
      </x:c>
      <x:c r="L169" s="5" t="str">
        <x:v>N/A: zero independent human Gold labels; AI must not be promoted to human truth</x:v>
      </x:c>
    </x:row>
    <x:row r="170" ht="20" hidden="0" customHeight="1">
      <x:c r="A170" s="5" t="str">
        <x:v>paired_ablation</x:v>
      </x:c>
      <x:c r="B170" s="5" t="str">
        <x:v>development</x:v>
      </x:c>
      <x:c r="C170" s="5" t="str">
        <x:v>D2_ARCHIVED</x:v>
      </x:c>
      <x:c r="D170" s="5" t="str">
        <x:v>multiple_contributions_gold_accuracy</x:v>
      </x:c>
      <x:c r="E170" s="5"/>
      <x:c r="F170" s="5"/>
      <x:c r="G170" s="10" t="str">
        <x:f>IF(COUNTBLANK(E170:F170)&gt;0,"N/A",IF(F170=0,"N/A",E170/F170))</x:f>
        <x:v>N/A</x:v>
      </x:c>
      <x:c r="H170" s="5" t="str">
        <x:v>Gold</x:v>
      </x:c>
      <x:c r="I170" s="5" t="n">
        <x:v>0</x:v>
      </x:c>
      <x:c r="J170" s="5" t="n">
        <x:v>0</x:v>
      </x:c>
      <x:c r="K170" s="5" t="str">
        <x:v>rate</x:v>
      </x:c>
      <x:c r="L170" s="5" t="str">
        <x:v>N/A: zero independent human Gold labels; AI must not be promoted to human truth</x:v>
      </x:c>
    </x:row>
    <x:row r="171" ht="20" hidden="0" customHeight="1">
      <x:c r="A171" s="5" t="str">
        <x:v>paired_ablation</x:v>
      </x:c>
      <x:c r="B171" s="5" t="str">
        <x:v>development</x:v>
      </x:c>
      <x:c r="C171" s="5" t="str">
        <x:v>D2_DEEPSEEK_REPLAY</x:v>
      </x:c>
      <x:c r="D171" s="5" t="str">
        <x:v>technical_object_correct_rate</x:v>
      </x:c>
      <x:c r="E171" s="5" t="n">
        <x:v>25</x:v>
      </x:c>
      <x:c r="F171" s="5" t="n">
        <x:v>28</x:v>
      </x:c>
      <x:c r="G171" s="10" t="n">
        <x:f>IF(COUNTBLANK(E171:F171)&gt;0,"N/A",IF(F171=0,"N/A",E171/F171))</x:f>
        <x:v>0.8928571428571429</x:v>
      </x:c>
      <x:c r="H171" s="5" t="str">
        <x:v>Silver</x:v>
      </x:c>
      <x:c r="I171" s="5" t="n">
        <x:v>28</x:v>
      </x:c>
      <x:c r="J171" s="5" t="n">
        <x:v>0</x:v>
      </x:c>
      <x:c r="K171" s="5" t="str">
        <x:v>rate</x:v>
      </x:c>
      <x:c r="L171" s="5" t="str">
        <x:v>Correct / {Correct,Partially Correct,Incorrect}; insufficient and uncertain excluded; same-model Silver</x:v>
      </x:c>
    </x:row>
    <x:row r="172" ht="20" hidden="0" customHeight="1">
      <x:c r="A172" s="5" t="str">
        <x:v>paired_ablation</x:v>
      </x:c>
      <x:c r="B172" s="5" t="str">
        <x:v>development</x:v>
      </x:c>
      <x:c r="C172" s="5" t="str">
        <x:v>D2_DEEPSEEK_REPLAY</x:v>
      </x:c>
      <x:c r="D172" s="5" t="str">
        <x:v>technical_object_partially_correct_rate</x:v>
      </x:c>
      <x:c r="E172" s="5" t="n">
        <x:v>3</x:v>
      </x:c>
      <x:c r="F172" s="5" t="n">
        <x:v>28</x:v>
      </x:c>
      <x:c r="G172" s="10" t="n">
        <x:f>IF(COUNTBLANK(E172:F172)&gt;0,"N/A",IF(F172=0,"N/A",E172/F172))</x:f>
        <x:v>0.10714285714285714</x:v>
      </x:c>
      <x:c r="H172" s="5" t="str">
        <x:v>Silver</x:v>
      </x:c>
      <x:c r="I172" s="5" t="n">
        <x:v>28</x:v>
      </x:c>
      <x:c r="J172" s="5" t="n">
        <x:v>0</x:v>
      </x:c>
      <x:c r="K172" s="5" t="str">
        <x:v>rate</x:v>
      </x:c>
      <x:c r="L172" s="5" t="str"/>
    </x:row>
    <x:row r="173" ht="20" hidden="0" customHeight="1">
      <x:c r="A173" s="5" t="str">
        <x:v>paired_ablation</x:v>
      </x:c>
      <x:c r="B173" s="5" t="str">
        <x:v>development</x:v>
      </x:c>
      <x:c r="C173" s="5" t="str">
        <x:v>D2_DEEPSEEK_REPLAY</x:v>
      </x:c>
      <x:c r="D173" s="5" t="str">
        <x:v>technical_problem_correct_rate</x:v>
      </x:c>
      <x:c r="E173" s="5" t="n">
        <x:v>20</x:v>
      </x:c>
      <x:c r="F173" s="5" t="n">
        <x:v>20</x:v>
      </x:c>
      <x:c r="G173" s="10" t="n">
        <x:f>IF(COUNTBLANK(E173:F173)&gt;0,"N/A",IF(F173=0,"N/A",E173/F173))</x:f>
        <x:v>1</x:v>
      </x:c>
      <x:c r="H173" s="5" t="str">
        <x:v>Silver</x:v>
      </x:c>
      <x:c r="I173" s="5" t="n">
        <x:v>28</x:v>
      </x:c>
      <x:c r="J173" s="5" t="n">
        <x:v>8</x:v>
      </x:c>
      <x:c r="K173" s="5" t="str">
        <x:v>rate</x:v>
      </x:c>
      <x:c r="L173" s="5" t="str">
        <x:v>Correct / {Correct,Partially Correct,Incorrect}; insufficient and uncertain excluded; same-model Silver</x:v>
      </x:c>
    </x:row>
    <x:row r="174" ht="20" hidden="0" customHeight="1">
      <x:c r="A174" s="5" t="str">
        <x:v>paired_ablation</x:v>
      </x:c>
      <x:c r="B174" s="5" t="str">
        <x:v>development</x:v>
      </x:c>
      <x:c r="C174" s="5" t="str">
        <x:v>D2_DEEPSEEK_REPLAY</x:v>
      </x:c>
      <x:c r="D174" s="5" t="str">
        <x:v>technical_problem_partially_correct_rate</x:v>
      </x:c>
      <x:c r="E174" s="5" t="n">
        <x:v>0</x:v>
      </x:c>
      <x:c r="F174" s="5" t="n">
        <x:v>20</x:v>
      </x:c>
      <x:c r="G174" s="10" t="n">
        <x:f>IF(COUNTBLANK(E174:F174)&gt;0,"N/A",IF(F174=0,"N/A",E174/F174))</x:f>
        <x:v>0</x:v>
      </x:c>
      <x:c r="H174" s="5" t="str">
        <x:v>Silver</x:v>
      </x:c>
      <x:c r="I174" s="5" t="n">
        <x:v>28</x:v>
      </x:c>
      <x:c r="J174" s="5" t="n">
        <x:v>8</x:v>
      </x:c>
      <x:c r="K174" s="5" t="str">
        <x:v>rate</x:v>
      </x:c>
      <x:c r="L174" s="5" t="str"/>
    </x:row>
    <x:row r="175" ht="20" hidden="0" customHeight="1">
      <x:c r="A175" s="5" t="str">
        <x:v>paired_ablation</x:v>
      </x:c>
      <x:c r="B175" s="5" t="str">
        <x:v>development</x:v>
      </x:c>
      <x:c r="C175" s="5" t="str">
        <x:v>D2_DEEPSEEK_REPLAY</x:v>
      </x:c>
      <x:c r="D175" s="5" t="str">
        <x:v>technical_mechanism_correct_rate</x:v>
      </x:c>
      <x:c r="E175" s="5" t="n">
        <x:v>25</x:v>
      </x:c>
      <x:c r="F175" s="5" t="n">
        <x:v>25</x:v>
      </x:c>
      <x:c r="G175" s="10" t="n">
        <x:f>IF(COUNTBLANK(E175:F175)&gt;0,"N/A",IF(F175=0,"N/A",E175/F175))</x:f>
        <x:v>1</x:v>
      </x:c>
      <x:c r="H175" s="5" t="str">
        <x:v>Silver</x:v>
      </x:c>
      <x:c r="I175" s="5" t="n">
        <x:v>28</x:v>
      </x:c>
      <x:c r="J175" s="5" t="n">
        <x:v>3</x:v>
      </x:c>
      <x:c r="K175" s="5" t="str">
        <x:v>rate</x:v>
      </x:c>
      <x:c r="L175" s="5" t="str">
        <x:v>Correct / {Correct,Partially Correct,Incorrect}; insufficient and uncertain excluded; same-model Silver</x:v>
      </x:c>
    </x:row>
    <x:row r="176" ht="20" hidden="0" customHeight="1">
      <x:c r="A176" s="5" t="str">
        <x:v>paired_ablation</x:v>
      </x:c>
      <x:c r="B176" s="5" t="str">
        <x:v>development</x:v>
      </x:c>
      <x:c r="C176" s="5" t="str">
        <x:v>D2_DEEPSEEK_REPLAY</x:v>
      </x:c>
      <x:c r="D176" s="5" t="str">
        <x:v>technical_mechanism_partially_correct_rate</x:v>
      </x:c>
      <x:c r="E176" s="5" t="n">
        <x:v>0</x:v>
      </x:c>
      <x:c r="F176" s="5" t="n">
        <x:v>25</x:v>
      </x:c>
      <x:c r="G176" s="10" t="n">
        <x:f>IF(COUNTBLANK(E176:F176)&gt;0,"N/A",IF(F176=0,"N/A",E176/F176))</x:f>
        <x:v>0</x:v>
      </x:c>
      <x:c r="H176" s="5" t="str">
        <x:v>Silver</x:v>
      </x:c>
      <x:c r="I176" s="5" t="n">
        <x:v>28</x:v>
      </x:c>
      <x:c r="J176" s="5" t="n">
        <x:v>3</x:v>
      </x:c>
      <x:c r="K176" s="5" t="str">
        <x:v>rate</x:v>
      </x:c>
      <x:c r="L176" s="5" t="str"/>
    </x:row>
    <x:row r="177" ht="20" hidden="0" customHeight="1">
      <x:c r="A177" s="5" t="str">
        <x:v>paired_ablation</x:v>
      </x:c>
      <x:c r="B177" s="5" t="str">
        <x:v>development</x:v>
      </x:c>
      <x:c r="C177" s="5" t="str">
        <x:v>D2_DEEPSEEK_REPLAY</x:v>
      </x:c>
      <x:c r="D177" s="5" t="str">
        <x:v>materials_correct_rate</x:v>
      </x:c>
      <x:c r="E177" s="5" t="n">
        <x:v>12</x:v>
      </x:c>
      <x:c r="F177" s="5" t="n">
        <x:v>17</x:v>
      </x:c>
      <x:c r="G177" s="10" t="n">
        <x:f>IF(COUNTBLANK(E177:F177)&gt;0,"N/A",IF(F177=0,"N/A",E177/F177))</x:f>
        <x:v>0.7058823529411765</x:v>
      </x:c>
      <x:c r="H177" s="5" t="str">
        <x:v>Silver</x:v>
      </x:c>
      <x:c r="I177" s="5" t="n">
        <x:v>28</x:v>
      </x:c>
      <x:c r="J177" s="5" t="n">
        <x:v>11</x:v>
      </x:c>
      <x:c r="K177" s="5" t="str">
        <x:v>rate</x:v>
      </x:c>
      <x:c r="L177" s="5" t="str">
        <x:v>Correct / {Correct,Partially Correct,Incorrect}; insufficient and uncertain excluded; same-model Silver</x:v>
      </x:c>
    </x:row>
    <x:row r="178" ht="20" hidden="0" customHeight="1">
      <x:c r="A178" s="5" t="str">
        <x:v>paired_ablation</x:v>
      </x:c>
      <x:c r="B178" s="5" t="str">
        <x:v>development</x:v>
      </x:c>
      <x:c r="C178" s="5" t="str">
        <x:v>D2_DEEPSEEK_REPLAY</x:v>
      </x:c>
      <x:c r="D178" s="5" t="str">
        <x:v>materials_partially_correct_rate</x:v>
      </x:c>
      <x:c r="E178" s="5" t="n">
        <x:v>5</x:v>
      </x:c>
      <x:c r="F178" s="5" t="n">
        <x:v>17</x:v>
      </x:c>
      <x:c r="G178" s="10" t="n">
        <x:f>IF(COUNTBLANK(E178:F178)&gt;0,"N/A",IF(F178=0,"N/A",E178/F178))</x:f>
        <x:v>0.29411764705882354</x:v>
      </x:c>
      <x:c r="H178" s="5" t="str">
        <x:v>Silver</x:v>
      </x:c>
      <x:c r="I178" s="5" t="n">
        <x:v>28</x:v>
      </x:c>
      <x:c r="J178" s="5" t="n">
        <x:v>11</x:v>
      </x:c>
      <x:c r="K178" s="5" t="str">
        <x:v>rate</x:v>
      </x:c>
      <x:c r="L178" s="5" t="str"/>
    </x:row>
    <x:row r="179" ht="20" hidden="0" customHeight="1">
      <x:c r="A179" s="5" t="str">
        <x:v>paired_ablation</x:v>
      </x:c>
      <x:c r="B179" s="5" t="str">
        <x:v>development</x:v>
      </x:c>
      <x:c r="C179" s="5" t="str">
        <x:v>D2_DEEPSEEK_REPLAY</x:v>
      </x:c>
      <x:c r="D179" s="5" t="str">
        <x:v>process_method_correct_rate</x:v>
      </x:c>
      <x:c r="E179" s="5" t="n">
        <x:v>13</x:v>
      </x:c>
      <x:c r="F179" s="5" t="n">
        <x:v>14</x:v>
      </x:c>
      <x:c r="G179" s="10" t="n">
        <x:f>IF(COUNTBLANK(E179:F179)&gt;0,"N/A",IF(F179=0,"N/A",E179/F179))</x:f>
        <x:v>0.9285714285714286</x:v>
      </x:c>
      <x:c r="H179" s="5" t="str">
        <x:v>Silver</x:v>
      </x:c>
      <x:c r="I179" s="5" t="n">
        <x:v>28</x:v>
      </x:c>
      <x:c r="J179" s="5" t="n">
        <x:v>14</x:v>
      </x:c>
      <x:c r="K179" s="5" t="str">
        <x:v>rate</x:v>
      </x:c>
      <x:c r="L179" s="5" t="str">
        <x:v>Correct / {Correct,Partially Correct,Incorrect}; insufficient and uncertain excluded; same-model Silver</x:v>
      </x:c>
    </x:row>
    <x:row r="180" ht="20" hidden="0" customHeight="1">
      <x:c r="A180" s="5" t="str">
        <x:v>paired_ablation</x:v>
      </x:c>
      <x:c r="B180" s="5" t="str">
        <x:v>development</x:v>
      </x:c>
      <x:c r="C180" s="5" t="str">
        <x:v>D2_DEEPSEEK_REPLAY</x:v>
      </x:c>
      <x:c r="D180" s="5" t="str">
        <x:v>process_method_partially_correct_rate</x:v>
      </x:c>
      <x:c r="E180" s="5" t="n">
        <x:v>1</x:v>
      </x:c>
      <x:c r="F180" s="5" t="n">
        <x:v>14</x:v>
      </x:c>
      <x:c r="G180" s="10" t="n">
        <x:f>IF(COUNTBLANK(E180:F180)&gt;0,"N/A",IF(F180=0,"N/A",E180/F180))</x:f>
        <x:v>0.07142857142857142</x:v>
      </x:c>
      <x:c r="H180" s="5" t="str">
        <x:v>Silver</x:v>
      </x:c>
      <x:c r="I180" s="5" t="n">
        <x:v>28</x:v>
      </x:c>
      <x:c r="J180" s="5" t="n">
        <x:v>14</x:v>
      </x:c>
      <x:c r="K180" s="5" t="str">
        <x:v>rate</x:v>
      </x:c>
      <x:c r="L180" s="5" t="str"/>
    </x:row>
    <x:row r="181" ht="20" hidden="0" customHeight="1">
      <x:c r="A181" s="5" t="str">
        <x:v>paired_ablation</x:v>
      </x:c>
      <x:c r="B181" s="5" t="str">
        <x:v>development</x:v>
      </x:c>
      <x:c r="C181" s="5" t="str">
        <x:v>D2_DEEPSEEK_REPLAY</x:v>
      </x:c>
      <x:c r="D181" s="5" t="str">
        <x:v>process_order_correct_rate</x:v>
      </x:c>
      <x:c r="E181" s="5" t="n">
        <x:v>5</x:v>
      </x:c>
      <x:c r="F181" s="5" t="n">
        <x:v>5</x:v>
      </x:c>
      <x:c r="G181" s="10" t="n">
        <x:f>IF(COUNTBLANK(E181:F181)&gt;0,"N/A",IF(F181=0,"N/A",E181/F181))</x:f>
        <x:v>1</x:v>
      </x:c>
      <x:c r="H181" s="5" t="str">
        <x:v>Silver</x:v>
      </x:c>
      <x:c r="I181" s="5" t="n">
        <x:v>28</x:v>
      </x:c>
      <x:c r="J181" s="5" t="n">
        <x:v>23</x:v>
      </x:c>
      <x:c r="K181" s="5" t="str">
        <x:v>rate</x:v>
      </x:c>
      <x:c r="L181" s="5" t="str">
        <x:v>Correct / {Correct,Partially Correct,Incorrect}; insufficient and uncertain excluded; same-model Silver</x:v>
      </x:c>
    </x:row>
    <x:row r="182" ht="20" hidden="0" customHeight="1">
      <x:c r="A182" s="5" t="str">
        <x:v>paired_ablation</x:v>
      </x:c>
      <x:c r="B182" s="5" t="str">
        <x:v>development</x:v>
      </x:c>
      <x:c r="C182" s="5" t="str">
        <x:v>D2_DEEPSEEK_REPLAY</x:v>
      </x:c>
      <x:c r="D182" s="5" t="str">
        <x:v>process_order_partially_correct_rate</x:v>
      </x:c>
      <x:c r="E182" s="5" t="n">
        <x:v>0</x:v>
      </x:c>
      <x:c r="F182" s="5" t="n">
        <x:v>5</x:v>
      </x:c>
      <x:c r="G182" s="10" t="n">
        <x:f>IF(COUNTBLANK(E182:F182)&gt;0,"N/A",IF(F182=0,"N/A",E182/F182))</x:f>
        <x:v>0</x:v>
      </x:c>
      <x:c r="H182" s="5" t="str">
        <x:v>Silver</x:v>
      </x:c>
      <x:c r="I182" s="5" t="n">
        <x:v>28</x:v>
      </x:c>
      <x:c r="J182" s="5" t="n">
        <x:v>23</x:v>
      </x:c>
      <x:c r="K182" s="5" t="str">
        <x:v>rate</x:v>
      </x:c>
      <x:c r="L182" s="5" t="str"/>
    </x:row>
    <x:row r="183" ht="20" hidden="0" customHeight="1">
      <x:c r="A183" s="5" t="str">
        <x:v>paired_ablation</x:v>
      </x:c>
      <x:c r="B183" s="5" t="str">
        <x:v>development</x:v>
      </x:c>
      <x:c r="C183" s="5" t="str">
        <x:v>D2_DEEPSEEK_REPLAY</x:v>
      </x:c>
      <x:c r="D183" s="5" t="str">
        <x:v>parameters_correct_rate</x:v>
      </x:c>
      <x:c r="E183" s="5" t="n">
        <x:v>10</x:v>
      </x:c>
      <x:c r="F183" s="5" t="n">
        <x:v>11</x:v>
      </x:c>
      <x:c r="G183" s="10" t="n">
        <x:f>IF(COUNTBLANK(E183:F183)&gt;0,"N/A",IF(F183=0,"N/A",E183/F183))</x:f>
        <x:v>0.9090909090909091</x:v>
      </x:c>
      <x:c r="H183" s="5" t="str">
        <x:v>Silver</x:v>
      </x:c>
      <x:c r="I183" s="5" t="n">
        <x:v>28</x:v>
      </x:c>
      <x:c r="J183" s="5" t="n">
        <x:v>17</x:v>
      </x:c>
      <x:c r="K183" s="5" t="str">
        <x:v>rate</x:v>
      </x:c>
      <x:c r="L183" s="5" t="str">
        <x:v>Correct / {Correct,Partially Correct,Incorrect}; insufficient and uncertain excluded; same-model Silver</x:v>
      </x:c>
    </x:row>
    <x:row r="184" ht="20" hidden="0" customHeight="1">
      <x:c r="A184" s="5" t="str">
        <x:v>paired_ablation</x:v>
      </x:c>
      <x:c r="B184" s="5" t="str">
        <x:v>development</x:v>
      </x:c>
      <x:c r="C184" s="5" t="str">
        <x:v>D2_DEEPSEEK_REPLAY</x:v>
      </x:c>
      <x:c r="D184" s="5" t="str">
        <x:v>parameters_partially_correct_rate</x:v>
      </x:c>
      <x:c r="E184" s="5" t="n">
        <x:v>1</x:v>
      </x:c>
      <x:c r="F184" s="5" t="n">
        <x:v>11</x:v>
      </x:c>
      <x:c r="G184" s="10" t="n">
        <x:f>IF(COUNTBLANK(E184:F184)&gt;0,"N/A",IF(F184=0,"N/A",E184/F184))</x:f>
        <x:v>0.09090909090909091</x:v>
      </x:c>
      <x:c r="H184" s="5" t="str">
        <x:v>Silver</x:v>
      </x:c>
      <x:c r="I184" s="5" t="n">
        <x:v>28</x:v>
      </x:c>
      <x:c r="J184" s="5" t="n">
        <x:v>17</x:v>
      </x:c>
      <x:c r="K184" s="5" t="str">
        <x:v>rate</x:v>
      </x:c>
      <x:c r="L184" s="5" t="str"/>
    </x:row>
    <x:row r="185" ht="20" hidden="0" customHeight="1">
      <x:c r="A185" s="5" t="str">
        <x:v>paired_ablation</x:v>
      </x:c>
      <x:c r="B185" s="5" t="str">
        <x:v>development</x:v>
      </x:c>
      <x:c r="C185" s="5" t="str">
        <x:v>D2_DEEPSEEK_REPLAY</x:v>
      </x:c>
      <x:c r="D185" s="5" t="str">
        <x:v>effects_correct_rate</x:v>
      </x:c>
      <x:c r="E185" s="5" t="n">
        <x:v>20</x:v>
      </x:c>
      <x:c r="F185" s="5" t="n">
        <x:v>20</x:v>
      </x:c>
      <x:c r="G185" s="10" t="n">
        <x:f>IF(COUNTBLANK(E185:F185)&gt;0,"N/A",IF(F185=0,"N/A",E185/F185))</x:f>
        <x:v>1</x:v>
      </x:c>
      <x:c r="H185" s="5" t="str">
        <x:v>Silver</x:v>
      </x:c>
      <x:c r="I185" s="5" t="n">
        <x:v>28</x:v>
      </x:c>
      <x:c r="J185" s="5" t="n">
        <x:v>8</x:v>
      </x:c>
      <x:c r="K185" s="5" t="str">
        <x:v>rate</x:v>
      </x:c>
      <x:c r="L185" s="5" t="str">
        <x:v>Correct / {Correct,Partially Correct,Incorrect}; insufficient and uncertain excluded; same-model Silver</x:v>
      </x:c>
    </x:row>
    <x:row r="186" ht="20" hidden="0" customHeight="1">
      <x:c r="A186" s="5" t="str">
        <x:v>paired_ablation</x:v>
      </x:c>
      <x:c r="B186" s="5" t="str">
        <x:v>development</x:v>
      </x:c>
      <x:c r="C186" s="5" t="str">
        <x:v>D2_DEEPSEEK_REPLAY</x:v>
      </x:c>
      <x:c r="D186" s="5" t="str">
        <x:v>effects_partially_correct_rate</x:v>
      </x:c>
      <x:c r="E186" s="5" t="n">
        <x:v>0</x:v>
      </x:c>
      <x:c r="F186" s="5" t="n">
        <x:v>20</x:v>
      </x:c>
      <x:c r="G186" s="10" t="n">
        <x:f>IF(COUNTBLANK(E186:F186)&gt;0,"N/A",IF(F186=0,"N/A",E186/F186))</x:f>
        <x:v>0</x:v>
      </x:c>
      <x:c r="H186" s="5" t="str">
        <x:v>Silver</x:v>
      </x:c>
      <x:c r="I186" s="5" t="n">
        <x:v>28</x:v>
      </x:c>
      <x:c r="J186" s="5" t="n">
        <x:v>8</x:v>
      </x:c>
      <x:c r="K186" s="5" t="str">
        <x:v>rate</x:v>
      </x:c>
      <x:c r="L186" s="5" t="str"/>
    </x:row>
    <x:row r="187" ht="20" hidden="0" customHeight="1">
      <x:c r="A187" s="5" t="str">
        <x:v>paired_ablation</x:v>
      </x:c>
      <x:c r="B187" s="5" t="str">
        <x:v>development</x:v>
      </x:c>
      <x:c r="C187" s="5" t="str">
        <x:v>D2_DEEPSEEK_REPLAY</x:v>
      </x:c>
      <x:c r="D187" s="5" t="str">
        <x:v>multiple_contributions_correct_rate</x:v>
      </x:c>
      <x:c r="E187" s="5" t="n">
        <x:v>22</x:v>
      </x:c>
      <x:c r="F187" s="5" t="n">
        <x:v>26</x:v>
      </x:c>
      <x:c r="G187" s="10" t="n">
        <x:f>IF(COUNTBLANK(E187:F187)&gt;0,"N/A",IF(F187=0,"N/A",E187/F187))</x:f>
        <x:v>0.8461538461538461</x:v>
      </x:c>
      <x:c r="H187" s="5" t="str">
        <x:v>Silver</x:v>
      </x:c>
      <x:c r="I187" s="5" t="n">
        <x:v>28</x:v>
      </x:c>
      <x:c r="J187" s="5" t="n">
        <x:v>2</x:v>
      </x:c>
      <x:c r="K187" s="5" t="str">
        <x:v>rate</x:v>
      </x:c>
      <x:c r="L187" s="5" t="str">
        <x:v>Correct / {Correct,Partially Correct,Incorrect}; insufficient and uncertain excluded; same-model Silver</x:v>
      </x:c>
    </x:row>
    <x:row r="188" ht="20" hidden="0" customHeight="1">
      <x:c r="A188" s="5" t="str">
        <x:v>paired_ablation</x:v>
      </x:c>
      <x:c r="B188" s="5" t="str">
        <x:v>development</x:v>
      </x:c>
      <x:c r="C188" s="5" t="str">
        <x:v>D2_DEEPSEEK_REPLAY</x:v>
      </x:c>
      <x:c r="D188" s="5" t="str">
        <x:v>multiple_contributions_partially_correct_rate</x:v>
      </x:c>
      <x:c r="E188" s="5" t="n">
        <x:v>4</x:v>
      </x:c>
      <x:c r="F188" s="5" t="n">
        <x:v>26</x:v>
      </x:c>
      <x:c r="G188" s="10" t="n">
        <x:f>IF(COUNTBLANK(E188:F188)&gt;0,"N/A",IF(F188=0,"N/A",E188/F188))</x:f>
        <x:v>0.15384615384615385</x:v>
      </x:c>
      <x:c r="H188" s="5" t="str">
        <x:v>Silver</x:v>
      </x:c>
      <x:c r="I188" s="5" t="n">
        <x:v>28</x:v>
      </x:c>
      <x:c r="J188" s="5" t="n">
        <x:v>2</x:v>
      </x:c>
      <x:c r="K188" s="5" t="str">
        <x:v>rate</x:v>
      </x:c>
      <x:c r="L188" s="5" t="str"/>
    </x:row>
    <x:row r="189" ht="20" hidden="0" customHeight="1">
      <x:c r="A189" s="5" t="str">
        <x:v>paired_ablation</x:v>
      </x:c>
      <x:c r="B189" s="5" t="str">
        <x:v>development</x:v>
      </x:c>
      <x:c r="C189" s="5" t="str">
        <x:v>D2_DEEPSEEK_REPLAY</x:v>
      </x:c>
      <x:c r="D189" s="5" t="str">
        <x:v>hallucination_correct_rate</x:v>
      </x:c>
      <x:c r="E189" s="5" t="n">
        <x:v>24</x:v>
      </x:c>
      <x:c r="F189" s="5" t="n">
        <x:v>28</x:v>
      </x:c>
      <x:c r="G189" s="10" t="n">
        <x:f>IF(COUNTBLANK(E189:F189)&gt;0,"N/A",IF(F189=0,"N/A",E189/F189))</x:f>
        <x:v>0.8571428571428571</x:v>
      </x:c>
      <x:c r="H189" s="5" t="str">
        <x:v>Silver</x:v>
      </x:c>
      <x:c r="I189" s="5" t="n">
        <x:v>28</x:v>
      </x:c>
      <x:c r="J189" s="5" t="n">
        <x:v>0</x:v>
      </x:c>
      <x:c r="K189" s="5" t="str">
        <x:v>rate</x:v>
      </x:c>
      <x:c r="L189" s="5" t="str">
        <x:v>Correct / {Correct,Partially Correct,Incorrect}; insufficient and uncertain excluded; same-model Silver</x:v>
      </x:c>
    </x:row>
    <x:row r="190" ht="20" hidden="0" customHeight="1">
      <x:c r="A190" s="5" t="str">
        <x:v>paired_ablation</x:v>
      </x:c>
      <x:c r="B190" s="5" t="str">
        <x:v>development</x:v>
      </x:c>
      <x:c r="C190" s="5" t="str">
        <x:v>D2_DEEPSEEK_REPLAY</x:v>
      </x:c>
      <x:c r="D190" s="5" t="str">
        <x:v>hallucination_partially_correct_rate</x:v>
      </x:c>
      <x:c r="E190" s="5" t="n">
        <x:v>2</x:v>
      </x:c>
      <x:c r="F190" s="5" t="n">
        <x:v>28</x:v>
      </x:c>
      <x:c r="G190" s="10" t="n">
        <x:f>IF(COUNTBLANK(E190:F190)&gt;0,"N/A",IF(F190=0,"N/A",E190/F190))</x:f>
        <x:v>0.07142857142857142</x:v>
      </x:c>
      <x:c r="H190" s="5" t="str">
        <x:v>Silver</x:v>
      </x:c>
      <x:c r="I190" s="5" t="n">
        <x:v>28</x:v>
      </x:c>
      <x:c r="J190" s="5" t="n">
        <x:v>0</x:v>
      </x:c>
      <x:c r="K190" s="5" t="str">
        <x:v>rate</x:v>
      </x:c>
      <x:c r="L190" s="5" t="str"/>
    </x:row>
    <x:row r="191" ht="31" hidden="0" customHeight="1">
      <x:c r="A191" s="5" t="str">
        <x:v>paired_ablation</x:v>
      </x:c>
      <x:c r="B191" s="5" t="str">
        <x:v>development</x:v>
      </x:c>
      <x:c r="C191" s="5" t="str">
        <x:v>D2_DEEPSEEK_REPLAY</x:v>
      </x:c>
      <x:c r="D191" s="5" t="str">
        <x:v>contribution_coverage</x:v>
      </x:c>
      <x:c r="E191" s="5" t="n">
        <x:v>30</x:v>
      </x:c>
      <x:c r="F191" s="5" t="n">
        <x:v>32</x:v>
      </x:c>
      <x:c r="G191" s="10" t="n">
        <x:f>IF(COUNTBLANK(E191:F191)&gt;0,"N/A",IF(F191=0,"N/A",E191/F191))</x:f>
        <x:v>0.9375</x:v>
      </x:c>
      <x:c r="H191" s="5" t="str">
        <x:v>Silver</x:v>
      </x:c>
      <x:c r="I191" s="5" t="n">
        <x:v>28</x:v>
      </x:c>
      <x:c r="J191" s="5" t="n">
        <x:v>3</x:v>
      </x:c>
      <x:c r="K191" s="5" t="str">
        <x:v>rate</x:v>
      </x:c>
      <x:c r="L191" s="5" t="str">
        <x:v>Source-reference denominators required consistent across matched configs; disagreements/zero applicability excluded</x:v>
      </x:c>
    </x:row>
    <x:row r="192" ht="31" hidden="0" customHeight="1">
      <x:c r="A192" s="5" t="str">
        <x:v>paired_ablation</x:v>
      </x:c>
      <x:c r="B192" s="5" t="str">
        <x:v>development</x:v>
      </x:c>
      <x:c r="C192" s="5" t="str">
        <x:v>D2_DEEPSEEK_REPLAY</x:v>
      </x:c>
      <x:c r="D192" s="5" t="str">
        <x:v>material_retention</x:v>
      </x:c>
      <x:c r="E192" s="5" t="n">
        <x:v>36</x:v>
      </x:c>
      <x:c r="F192" s="5" t="n">
        <x:v>45</x:v>
      </x:c>
      <x:c r="G192" s="10" t="n">
        <x:f>IF(COUNTBLANK(E192:F192)&gt;0,"N/A",IF(F192=0,"N/A",E192/F192))</x:f>
        <x:v>0.8</x:v>
      </x:c>
      <x:c r="H192" s="5" t="str">
        <x:v>Silver</x:v>
      </x:c>
      <x:c r="I192" s="5" t="n">
        <x:v>28</x:v>
      </x:c>
      <x:c r="J192" s="5" t="n">
        <x:v>8</x:v>
      </x:c>
      <x:c r="K192" s="5" t="str">
        <x:v>rate</x:v>
      </x:c>
      <x:c r="L192" s="5" t="str">
        <x:v>Source-reference denominators required consistent across matched configs; disagreements/zero applicability excluded</x:v>
      </x:c>
    </x:row>
    <x:row r="193" ht="31" hidden="0" customHeight="1">
      <x:c r="A193" s="5" t="str">
        <x:v>paired_ablation</x:v>
      </x:c>
      <x:c r="B193" s="5" t="str">
        <x:v>development</x:v>
      </x:c>
      <x:c r="C193" s="5" t="str">
        <x:v>D2_DEEPSEEK_REPLAY</x:v>
      </x:c>
      <x:c r="D193" s="5" t="str">
        <x:v>process_retention</x:v>
      </x:c>
      <x:c r="E193" s="5" t="n">
        <x:v>34</x:v>
      </x:c>
      <x:c r="F193" s="5" t="n">
        <x:v>37</x:v>
      </x:c>
      <x:c r="G193" s="10" t="n">
        <x:f>IF(COUNTBLANK(E193:F193)&gt;0,"N/A",IF(F193=0,"N/A",E193/F193))</x:f>
        <x:v>0.918918918918919</x:v>
      </x:c>
      <x:c r="H193" s="5" t="str">
        <x:v>Silver</x:v>
      </x:c>
      <x:c r="I193" s="5" t="n">
        <x:v>28</x:v>
      </x:c>
      <x:c r="J193" s="5" t="n">
        <x:v>12</x:v>
      </x:c>
      <x:c r="K193" s="5" t="str">
        <x:v>rate</x:v>
      </x:c>
      <x:c r="L193" s="5" t="str">
        <x:v>Source-reference denominators required consistent across matched configs; disagreements/zero applicability excluded</x:v>
      </x:c>
    </x:row>
    <x:row r="194" ht="20" hidden="0" customHeight="1">
      <x:c r="A194" s="5" t="str">
        <x:v>paired_ablation</x:v>
      </x:c>
      <x:c r="B194" s="5" t="str">
        <x:v>development</x:v>
      </x:c>
      <x:c r="C194" s="5" t="str">
        <x:v>D2_DEEPSEEK_REPLAY</x:v>
      </x:c>
      <x:c r="D194" s="5" t="str">
        <x:v>multi_contribution_omission_rate</x:v>
      </x:c>
      <x:c r="E194" s="5" t="n">
        <x:v>1</x:v>
      </x:c>
      <x:c r="F194" s="5" t="n">
        <x:v>3</x:v>
      </x:c>
      <x:c r="G194" s="10" t="n">
        <x:f>IF(COUNTBLANK(E194:F194)&gt;0,"N/A",IF(F194=0,"N/A",E194/F194))</x:f>
        <x:v>0.3333333333333333</x:v>
      </x:c>
      <x:c r="H194" s="5" t="str">
        <x:v>Silver</x:v>
      </x:c>
      <x:c r="I194" s="5" t="n">
        <x:v>28</x:v>
      </x:c>
      <x:c r="J194" s="5" t="n">
        <x:v>25</x:v>
      </x:c>
      <x:c r="K194" s="5" t="str">
        <x:v>rate</x:v>
      </x:c>
      <x:c r="L194" s="5" t="str"/>
    </x:row>
    <x:row r="195" ht="20" hidden="0" customHeight="1">
      <x:c r="A195" s="5" t="str">
        <x:v>paired_ablation</x:v>
      </x:c>
      <x:c r="B195" s="5" t="str">
        <x:v>development</x:v>
      </x:c>
      <x:c r="C195" s="5" t="str">
        <x:v>D2_DEEPSEEK_REPLAY</x:v>
      </x:c>
      <x:c r="D195" s="5" t="str">
        <x:v>full_conclusion_support_rate</x:v>
      </x:c>
      <x:c r="E195" s="5" t="n">
        <x:v>22</x:v>
      </x:c>
      <x:c r="F195" s="5" t="n">
        <x:v>26</x:v>
      </x:c>
      <x:c r="G195" s="10" t="n">
        <x:f>IF(COUNTBLANK(E195:F195)&gt;0,"N/A",IF(F195=0,"N/A",E195/F195))</x:f>
        <x:v>0.8461538461538461</x:v>
      </x:c>
      <x:c r="H195" s="5" t="str">
        <x:v>Silver</x:v>
      </x:c>
      <x:c r="I195" s="5" t="n">
        <x:v>28</x:v>
      </x:c>
      <x:c r="J195" s="5" t="n">
        <x:v>2</x:v>
      </x:c>
      <x:c r="K195" s="5" t="str">
        <x:v>rate</x:v>
      </x:c>
      <x:c r="L195" s="5" t="str"/>
    </x:row>
    <x:row r="196" ht="20" hidden="0" customHeight="1">
      <x:c r="A196" s="5" t="str">
        <x:v>paired_ablation</x:v>
      </x:c>
      <x:c r="B196" s="5" t="str">
        <x:v>development</x:v>
      </x:c>
      <x:c r="C196" s="5" t="str">
        <x:v>D2_DEEPSEEK_REPLAY</x:v>
      </x:c>
      <x:c r="D196" s="5" t="str">
        <x:v>mean_contributions_per_family</x:v>
      </x:c>
      <x:c r="E196" s="5" t="n">
        <x:v>25</x:v>
      </x:c>
      <x:c r="F196" s="5" t="n">
        <x:v>28</x:v>
      </x:c>
      <x:c r="G196" s="11" t="n">
        <x:f>IF(COUNTBLANK(E196:F196)&gt;0,"N/A",IF(F196=0,"N/A",E196/F196))</x:f>
        <x:v>0.8928571428571429</x:v>
      </x:c>
      <x:c r="H196" s="5" t="str">
        <x:v>Silver</x:v>
      </x:c>
      <x:c r="I196" s="5" t="n">
        <x:v>28</x:v>
      </x:c>
      <x:c r="J196" s="5" t="n">
        <x:v>0</x:v>
      </x:c>
      <x:c r="K196" s="5" t="str">
        <x:v>contributions/family</x:v>
      </x:c>
      <x:c r="L196" s="5" t="str"/>
    </x:row>
    <x:row r="197" ht="20" hidden="0" customHeight="1">
      <x:c r="A197" s="5" t="str">
        <x:v>paired_ablation</x:v>
      </x:c>
      <x:c r="B197" s="5" t="str">
        <x:v>development</x:v>
      </x:c>
      <x:c r="C197" s="5" t="str">
        <x:v>D2_DEEPSEEK_REPLAY</x:v>
      </x:c>
      <x:c r="D197" s="5" t="str">
        <x:v>oversplit_contribution_rate</x:v>
      </x:c>
      <x:c r="E197" s="5" t="n">
        <x:v>0</x:v>
      </x:c>
      <x:c r="F197" s="5" t="n">
        <x:v>25</x:v>
      </x:c>
      <x:c r="G197" s="10" t="n">
        <x:f>IF(COUNTBLANK(E197:F197)&gt;0,"N/A",IF(F197=0,"N/A",E197/F197))</x:f>
        <x:v>0</x:v>
      </x:c>
      <x:c r="H197" s="5" t="str">
        <x:v>Silver</x:v>
      </x:c>
      <x:c r="I197" s="5" t="n">
        <x:v>28</x:v>
      </x:c>
      <x:c r="J197" s="5" t="n">
        <x:v>0</x:v>
      </x:c>
      <x:c r="K197" s="5" t="str">
        <x:v>rate</x:v>
      </x:c>
      <x:c r="L197" s="5" t="str">
        <x:v>Auditor oversplit units / actual explicit output units; not a human error rate</x:v>
      </x:c>
    </x:row>
    <x:row r="198" ht="20" hidden="0" customHeight="1">
      <x:c r="A198" s="5" t="str">
        <x:v>paired_ablation</x:v>
      </x:c>
      <x:c r="B198" s="5" t="str">
        <x:v>development</x:v>
      </x:c>
      <x:c r="C198" s="5" t="str">
        <x:v>D2_DEEPSEEK_REPLAY</x:v>
      </x:c>
      <x:c r="D198" s="5" t="str">
        <x:v>hallucinated_contribution_rate</x:v>
      </x:c>
      <x:c r="E198" s="5" t="n">
        <x:v>4</x:v>
      </x:c>
      <x:c r="F198" s="5" t="n">
        <x:v>25</x:v>
      </x:c>
      <x:c r="G198" s="10" t="n">
        <x:f>IF(COUNTBLANK(E198:F198)&gt;0,"N/A",IF(F198=0,"N/A",E198/F198))</x:f>
        <x:v>0.16</x:v>
      </x:c>
      <x:c r="H198" s="5" t="str">
        <x:v>Silver</x:v>
      </x:c>
      <x:c r="I198" s="5" t="n">
        <x:v>28</x:v>
      </x:c>
      <x:c r="J198" s="5" t="n">
        <x:v>0</x:v>
      </x:c>
      <x:c r="K198" s="5" t="str">
        <x:v>rate</x:v>
      </x:c>
      <x:c r="L198" s="5" t="str"/>
    </x:row>
    <x:row r="199" ht="20" hidden="0" customHeight="1">
      <x:c r="A199" s="5" t="str">
        <x:v>paired_ablation</x:v>
      </x:c>
      <x:c r="B199" s="5" t="str">
        <x:v>development</x:v>
      </x:c>
      <x:c r="C199" s="5" t="str">
        <x:v>D2_DEEPSEEK_REPLAY</x:v>
      </x:c>
      <x:c r="D199" s="5" t="str">
        <x:v>technical_mechanism_gold_accuracy</x:v>
      </x:c>
      <x:c r="E199" s="5"/>
      <x:c r="F199" s="5"/>
      <x:c r="G199" s="10" t="str">
        <x:f>IF(COUNTBLANK(E199:F199)&gt;0,"N/A",IF(F199=0,"N/A",E199/F199))</x:f>
        <x:v>N/A</x:v>
      </x:c>
      <x:c r="H199" s="5" t="str">
        <x:v>Gold</x:v>
      </x:c>
      <x:c r="I199" s="5" t="n">
        <x:v>0</x:v>
      </x:c>
      <x:c r="J199" s="5" t="n">
        <x:v>0</x:v>
      </x:c>
      <x:c r="K199" s="5" t="str">
        <x:v>rate</x:v>
      </x:c>
      <x:c r="L199" s="5" t="str">
        <x:v>N/A: zero independent human Gold labels; AI must not be promoted to human truth</x:v>
      </x:c>
    </x:row>
    <x:row r="200" ht="20" hidden="0" customHeight="1">
      <x:c r="A200" s="5" t="str">
        <x:v>paired_ablation</x:v>
      </x:c>
      <x:c r="B200" s="5" t="str">
        <x:v>development</x:v>
      </x:c>
      <x:c r="C200" s="5" t="str">
        <x:v>D2_DEEPSEEK_REPLAY</x:v>
      </x:c>
      <x:c r="D200" s="5" t="str">
        <x:v>materials_gold_accuracy</x:v>
      </x:c>
      <x:c r="E200" s="5"/>
      <x:c r="F200" s="5"/>
      <x:c r="G200" s="10" t="str">
        <x:f>IF(COUNTBLANK(E200:F200)&gt;0,"N/A",IF(F200=0,"N/A",E200/F200))</x:f>
        <x:v>N/A</x:v>
      </x:c>
      <x:c r="H200" s="5" t="str">
        <x:v>Gold</x:v>
      </x:c>
      <x:c r="I200" s="5" t="n">
        <x:v>0</x:v>
      </x:c>
      <x:c r="J200" s="5" t="n">
        <x:v>0</x:v>
      </x:c>
      <x:c r="K200" s="5" t="str">
        <x:v>rate</x:v>
      </x:c>
      <x:c r="L200" s="5" t="str">
        <x:v>N/A: zero independent human Gold labels; AI must not be promoted to human truth</x:v>
      </x:c>
    </x:row>
    <x:row r="201" ht="20" hidden="0" customHeight="1">
      <x:c r="A201" s="5" t="str">
        <x:v>paired_ablation</x:v>
      </x:c>
      <x:c r="B201" s="5" t="str">
        <x:v>development</x:v>
      </x:c>
      <x:c r="C201" s="5" t="str">
        <x:v>D2_DEEPSEEK_REPLAY</x:v>
      </x:c>
      <x:c r="D201" s="5" t="str">
        <x:v>process_method_gold_accuracy</x:v>
      </x:c>
      <x:c r="E201" s="5"/>
      <x:c r="F201" s="5"/>
      <x:c r="G201" s="10" t="str">
        <x:f>IF(COUNTBLANK(E201:F201)&gt;0,"N/A",IF(F201=0,"N/A",E201/F201))</x:f>
        <x:v>N/A</x:v>
      </x:c>
      <x:c r="H201" s="5" t="str">
        <x:v>Gold</x:v>
      </x:c>
      <x:c r="I201" s="5" t="n">
        <x:v>0</x:v>
      </x:c>
      <x:c r="J201" s="5" t="n">
        <x:v>0</x:v>
      </x:c>
      <x:c r="K201" s="5" t="str">
        <x:v>rate</x:v>
      </x:c>
      <x:c r="L201" s="5" t="str">
        <x:v>N/A: zero independent human Gold labels; AI must not be promoted to human truth</x:v>
      </x:c>
    </x:row>
    <x:row r="202" ht="20" hidden="0" customHeight="1">
      <x:c r="A202" s="5" t="str">
        <x:v>paired_ablation</x:v>
      </x:c>
      <x:c r="B202" s="5" t="str">
        <x:v>development</x:v>
      </x:c>
      <x:c r="C202" s="5" t="str">
        <x:v>D2_DEEPSEEK_REPLAY</x:v>
      </x:c>
      <x:c r="D202" s="5" t="str">
        <x:v>parameters_gold_accuracy</x:v>
      </x:c>
      <x:c r="E202" s="5"/>
      <x:c r="F202" s="5"/>
      <x:c r="G202" s="10" t="str">
        <x:f>IF(COUNTBLANK(E202:F202)&gt;0,"N/A",IF(F202=0,"N/A",E202/F202))</x:f>
        <x:v>N/A</x:v>
      </x:c>
      <x:c r="H202" s="5" t="str">
        <x:v>Gold</x:v>
      </x:c>
      <x:c r="I202" s="5" t="n">
        <x:v>0</x:v>
      </x:c>
      <x:c r="J202" s="5" t="n">
        <x:v>0</x:v>
      </x:c>
      <x:c r="K202" s="5" t="str">
        <x:v>rate</x:v>
      </x:c>
      <x:c r="L202" s="5" t="str">
        <x:v>N/A: zero independent human Gold labels; AI must not be promoted to human truth</x:v>
      </x:c>
    </x:row>
    <x:row r="203" ht="20" hidden="0" customHeight="1">
      <x:c r="A203" s="5" t="str">
        <x:v>paired_ablation</x:v>
      </x:c>
      <x:c r="B203" s="5" t="str">
        <x:v>development</x:v>
      </x:c>
      <x:c r="C203" s="5" t="str">
        <x:v>D2_DEEPSEEK_REPLAY</x:v>
      </x:c>
      <x:c r="D203" s="5" t="str">
        <x:v>multiple_contributions_gold_accuracy</x:v>
      </x:c>
      <x:c r="E203" s="5"/>
      <x:c r="F203" s="5"/>
      <x:c r="G203" s="10" t="str">
        <x:f>IF(COUNTBLANK(E203:F203)&gt;0,"N/A",IF(F203=0,"N/A",E203/F203))</x:f>
        <x:v>N/A</x:v>
      </x:c>
      <x:c r="H203" s="5" t="str">
        <x:v>Gold</x:v>
      </x:c>
      <x:c r="I203" s="5" t="n">
        <x:v>0</x:v>
      </x:c>
      <x:c r="J203" s="5" t="n">
        <x:v>0</x:v>
      </x:c>
      <x:c r="K203" s="5" t="str">
        <x:v>rate</x:v>
      </x:c>
      <x:c r="L203" s="5" t="str">
        <x:v>N/A: zero independent human Gold labels; AI must not be promoted to human truth</x:v>
      </x:c>
    </x:row>
    <x:row r="204" ht="20" hidden="0" customHeight="1">
      <x:c r="A204" s="5" t="str">
        <x:v>paired_ablation</x:v>
      </x:c>
      <x:c r="B204" s="5" t="str">
        <x:v>development</x:v>
      </x:c>
      <x:c r="C204" s="5" t="str">
        <x:v>D3_EXTRACT_ONLY</x:v>
      </x:c>
      <x:c r="D204" s="5" t="str">
        <x:v>technical_object_correct_rate</x:v>
      </x:c>
      <x:c r="E204" s="5" t="n">
        <x:v>26</x:v>
      </x:c>
      <x:c r="F204" s="5" t="n">
        <x:v>27</x:v>
      </x:c>
      <x:c r="G204" s="10" t="n">
        <x:f>IF(COUNTBLANK(E204:F204)&gt;0,"N/A",IF(F204=0,"N/A",E204/F204))</x:f>
        <x:v>0.9629629629629629</x:v>
      </x:c>
      <x:c r="H204" s="5" t="str">
        <x:v>Silver</x:v>
      </x:c>
      <x:c r="I204" s="5" t="n">
        <x:v>28</x:v>
      </x:c>
      <x:c r="J204" s="5" t="n">
        <x:v>1</x:v>
      </x:c>
      <x:c r="K204" s="5" t="str">
        <x:v>rate</x:v>
      </x:c>
      <x:c r="L204" s="5" t="str">
        <x:v>Correct / {Correct,Partially Correct,Incorrect}; insufficient and uncertain excluded; same-model Silver</x:v>
      </x:c>
    </x:row>
    <x:row r="205" ht="20" hidden="0" customHeight="1">
      <x:c r="A205" s="5" t="str">
        <x:v>paired_ablation</x:v>
      </x:c>
      <x:c r="B205" s="5" t="str">
        <x:v>development</x:v>
      </x:c>
      <x:c r="C205" s="5" t="str">
        <x:v>D3_EXTRACT_ONLY</x:v>
      </x:c>
      <x:c r="D205" s="5" t="str">
        <x:v>technical_object_partially_correct_rate</x:v>
      </x:c>
      <x:c r="E205" s="5" t="n">
        <x:v>1</x:v>
      </x:c>
      <x:c r="F205" s="5" t="n">
        <x:v>27</x:v>
      </x:c>
      <x:c r="G205" s="10" t="n">
        <x:f>IF(COUNTBLANK(E205:F205)&gt;0,"N/A",IF(F205=0,"N/A",E205/F205))</x:f>
        <x:v>0.037037037037037035</x:v>
      </x:c>
      <x:c r="H205" s="5" t="str">
        <x:v>Silver</x:v>
      </x:c>
      <x:c r="I205" s="5" t="n">
        <x:v>28</x:v>
      </x:c>
      <x:c r="J205" s="5" t="n">
        <x:v>1</x:v>
      </x:c>
      <x:c r="K205" s="5" t="str">
        <x:v>rate</x:v>
      </x:c>
      <x:c r="L205" s="5" t="str"/>
    </x:row>
    <x:row r="206" ht="20" hidden="0" customHeight="1">
      <x:c r="A206" s="5" t="str">
        <x:v>paired_ablation</x:v>
      </x:c>
      <x:c r="B206" s="5" t="str">
        <x:v>development</x:v>
      </x:c>
      <x:c r="C206" s="5" t="str">
        <x:v>D3_EXTRACT_ONLY</x:v>
      </x:c>
      <x:c r="D206" s="5" t="str">
        <x:v>technical_problem_correct_rate</x:v>
      </x:c>
      <x:c r="E206" s="5" t="n">
        <x:v>19</x:v>
      </x:c>
      <x:c r="F206" s="5" t="n">
        <x:v>20</x:v>
      </x:c>
      <x:c r="G206" s="10" t="n">
        <x:f>IF(COUNTBLANK(E206:F206)&gt;0,"N/A",IF(F206=0,"N/A",E206/F206))</x:f>
        <x:v>0.95</x:v>
      </x:c>
      <x:c r="H206" s="5" t="str">
        <x:v>Silver</x:v>
      </x:c>
      <x:c r="I206" s="5" t="n">
        <x:v>28</x:v>
      </x:c>
      <x:c r="J206" s="5" t="n">
        <x:v>8</x:v>
      </x:c>
      <x:c r="K206" s="5" t="str">
        <x:v>rate</x:v>
      </x:c>
      <x:c r="L206" s="5" t="str">
        <x:v>Correct / {Correct,Partially Correct,Incorrect}; insufficient and uncertain excluded; same-model Silver</x:v>
      </x:c>
    </x:row>
    <x:row r="207" ht="20" hidden="0" customHeight="1">
      <x:c r="A207" s="5" t="str">
        <x:v>paired_ablation</x:v>
      </x:c>
      <x:c r="B207" s="5" t="str">
        <x:v>development</x:v>
      </x:c>
      <x:c r="C207" s="5" t="str">
        <x:v>D3_EXTRACT_ONLY</x:v>
      </x:c>
      <x:c r="D207" s="5" t="str">
        <x:v>technical_problem_partially_correct_rate</x:v>
      </x:c>
      <x:c r="E207" s="5" t="n">
        <x:v>0</x:v>
      </x:c>
      <x:c r="F207" s="5" t="n">
        <x:v>20</x:v>
      </x:c>
      <x:c r="G207" s="10" t="n">
        <x:f>IF(COUNTBLANK(E207:F207)&gt;0,"N/A",IF(F207=0,"N/A",E207/F207))</x:f>
        <x:v>0</x:v>
      </x:c>
      <x:c r="H207" s="5" t="str">
        <x:v>Silver</x:v>
      </x:c>
      <x:c r="I207" s="5" t="n">
        <x:v>28</x:v>
      </x:c>
      <x:c r="J207" s="5" t="n">
        <x:v>8</x:v>
      </x:c>
      <x:c r="K207" s="5" t="str">
        <x:v>rate</x:v>
      </x:c>
      <x:c r="L207" s="5" t="str"/>
    </x:row>
    <x:row r="208" ht="20" hidden="0" customHeight="1">
      <x:c r="A208" s="5" t="str">
        <x:v>paired_ablation</x:v>
      </x:c>
      <x:c r="B208" s="5" t="str">
        <x:v>development</x:v>
      </x:c>
      <x:c r="C208" s="5" t="str">
        <x:v>D3_EXTRACT_ONLY</x:v>
      </x:c>
      <x:c r="D208" s="5" t="str">
        <x:v>technical_mechanism_correct_rate</x:v>
      </x:c>
      <x:c r="E208" s="5" t="n">
        <x:v>24</x:v>
      </x:c>
      <x:c r="F208" s="5" t="n">
        <x:v>25</x:v>
      </x:c>
      <x:c r="G208" s="10" t="n">
        <x:f>IF(COUNTBLANK(E208:F208)&gt;0,"N/A",IF(F208=0,"N/A",E208/F208))</x:f>
        <x:v>0.96</x:v>
      </x:c>
      <x:c r="H208" s="5" t="str">
        <x:v>Silver</x:v>
      </x:c>
      <x:c r="I208" s="5" t="n">
        <x:v>28</x:v>
      </x:c>
      <x:c r="J208" s="5" t="n">
        <x:v>3</x:v>
      </x:c>
      <x:c r="K208" s="5" t="str">
        <x:v>rate</x:v>
      </x:c>
      <x:c r="L208" s="5" t="str">
        <x:v>Correct / {Correct,Partially Correct,Incorrect}; insufficient and uncertain excluded; same-model Silver</x:v>
      </x:c>
    </x:row>
    <x:row r="209" ht="20" hidden="0" customHeight="1">
      <x:c r="A209" s="5" t="str">
        <x:v>paired_ablation</x:v>
      </x:c>
      <x:c r="B209" s="5" t="str">
        <x:v>development</x:v>
      </x:c>
      <x:c r="C209" s="5" t="str">
        <x:v>D3_EXTRACT_ONLY</x:v>
      </x:c>
      <x:c r="D209" s="5" t="str">
        <x:v>technical_mechanism_partially_correct_rate</x:v>
      </x:c>
      <x:c r="E209" s="5" t="n">
        <x:v>1</x:v>
      </x:c>
      <x:c r="F209" s="5" t="n">
        <x:v>25</x:v>
      </x:c>
      <x:c r="G209" s="10" t="n">
        <x:f>IF(COUNTBLANK(E209:F209)&gt;0,"N/A",IF(F209=0,"N/A",E209/F209))</x:f>
        <x:v>0.04</x:v>
      </x:c>
      <x:c r="H209" s="5" t="str">
        <x:v>Silver</x:v>
      </x:c>
      <x:c r="I209" s="5" t="n">
        <x:v>28</x:v>
      </x:c>
      <x:c r="J209" s="5" t="n">
        <x:v>3</x:v>
      </x:c>
      <x:c r="K209" s="5" t="str">
        <x:v>rate</x:v>
      </x:c>
      <x:c r="L209" s="5" t="str"/>
    </x:row>
    <x:row r="210" ht="20" hidden="0" customHeight="1">
      <x:c r="A210" s="5" t="str">
        <x:v>paired_ablation</x:v>
      </x:c>
      <x:c r="B210" s="5" t="str">
        <x:v>development</x:v>
      </x:c>
      <x:c r="C210" s="5" t="str">
        <x:v>D3_EXTRACT_ONLY</x:v>
      </x:c>
      <x:c r="D210" s="5" t="str">
        <x:v>materials_correct_rate</x:v>
      </x:c>
      <x:c r="E210" s="5" t="n">
        <x:v>14</x:v>
      </x:c>
      <x:c r="F210" s="5" t="n">
        <x:v>21</x:v>
      </x:c>
      <x:c r="G210" s="10" t="n">
        <x:f>IF(COUNTBLANK(E210:F210)&gt;0,"N/A",IF(F210=0,"N/A",E210/F210))</x:f>
        <x:v>0.6666666666666666</x:v>
      </x:c>
      <x:c r="H210" s="5" t="str">
        <x:v>Silver</x:v>
      </x:c>
      <x:c r="I210" s="5" t="n">
        <x:v>28</x:v>
      </x:c>
      <x:c r="J210" s="5" t="n">
        <x:v>7</x:v>
      </x:c>
      <x:c r="K210" s="5" t="str">
        <x:v>rate</x:v>
      </x:c>
      <x:c r="L210" s="5" t="str">
        <x:v>Correct / {Correct,Partially Correct,Incorrect}; insufficient and uncertain excluded; same-model Silver</x:v>
      </x:c>
    </x:row>
    <x:row r="211" ht="20" hidden="0" customHeight="1">
      <x:c r="A211" s="5" t="str">
        <x:v>paired_ablation</x:v>
      </x:c>
      <x:c r="B211" s="5" t="str">
        <x:v>development</x:v>
      </x:c>
      <x:c r="C211" s="5" t="str">
        <x:v>D3_EXTRACT_ONLY</x:v>
      </x:c>
      <x:c r="D211" s="5" t="str">
        <x:v>materials_partially_correct_rate</x:v>
      </x:c>
      <x:c r="E211" s="5" t="n">
        <x:v>7</x:v>
      </x:c>
      <x:c r="F211" s="5" t="n">
        <x:v>21</x:v>
      </x:c>
      <x:c r="G211" s="10" t="n">
        <x:f>IF(COUNTBLANK(E211:F211)&gt;0,"N/A",IF(F211=0,"N/A",E211/F211))</x:f>
        <x:v>0.3333333333333333</x:v>
      </x:c>
      <x:c r="H211" s="5" t="str">
        <x:v>Silver</x:v>
      </x:c>
      <x:c r="I211" s="5" t="n">
        <x:v>28</x:v>
      </x:c>
      <x:c r="J211" s="5" t="n">
        <x:v>7</x:v>
      </x:c>
      <x:c r="K211" s="5" t="str">
        <x:v>rate</x:v>
      </x:c>
      <x:c r="L211" s="5" t="str"/>
    </x:row>
    <x:row r="212" ht="20" hidden="0" customHeight="1">
      <x:c r="A212" s="5" t="str">
        <x:v>paired_ablation</x:v>
      </x:c>
      <x:c r="B212" s="5" t="str">
        <x:v>development</x:v>
      </x:c>
      <x:c r="C212" s="5" t="str">
        <x:v>D3_EXTRACT_ONLY</x:v>
      </x:c>
      <x:c r="D212" s="5" t="str">
        <x:v>process_method_correct_rate</x:v>
      </x:c>
      <x:c r="E212" s="5" t="n">
        <x:v>13</x:v>
      </x:c>
      <x:c r="F212" s="5" t="n">
        <x:v>14</x:v>
      </x:c>
      <x:c r="G212" s="10" t="n">
        <x:f>IF(COUNTBLANK(E212:F212)&gt;0,"N/A",IF(F212=0,"N/A",E212/F212))</x:f>
        <x:v>0.9285714285714286</x:v>
      </x:c>
      <x:c r="H212" s="5" t="str">
        <x:v>Silver</x:v>
      </x:c>
      <x:c r="I212" s="5" t="n">
        <x:v>28</x:v>
      </x:c>
      <x:c r="J212" s="5" t="n">
        <x:v>14</x:v>
      </x:c>
      <x:c r="K212" s="5" t="str">
        <x:v>rate</x:v>
      </x:c>
      <x:c r="L212" s="5" t="str">
        <x:v>Correct / {Correct,Partially Correct,Incorrect}; insufficient and uncertain excluded; same-model Silver</x:v>
      </x:c>
    </x:row>
    <x:row r="213" ht="20" hidden="0" customHeight="1">
      <x:c r="A213" s="5" t="str">
        <x:v>paired_ablation</x:v>
      </x:c>
      <x:c r="B213" s="5" t="str">
        <x:v>development</x:v>
      </x:c>
      <x:c r="C213" s="5" t="str">
        <x:v>D3_EXTRACT_ONLY</x:v>
      </x:c>
      <x:c r="D213" s="5" t="str">
        <x:v>process_method_partially_correct_rate</x:v>
      </x:c>
      <x:c r="E213" s="5" t="n">
        <x:v>1</x:v>
      </x:c>
      <x:c r="F213" s="5" t="n">
        <x:v>14</x:v>
      </x:c>
      <x:c r="G213" s="10" t="n">
        <x:f>IF(COUNTBLANK(E213:F213)&gt;0,"N/A",IF(F213=0,"N/A",E213/F213))</x:f>
        <x:v>0.07142857142857142</x:v>
      </x:c>
      <x:c r="H213" s="5" t="str">
        <x:v>Silver</x:v>
      </x:c>
      <x:c r="I213" s="5" t="n">
        <x:v>28</x:v>
      </x:c>
      <x:c r="J213" s="5" t="n">
        <x:v>14</x:v>
      </x:c>
      <x:c r="K213" s="5" t="str">
        <x:v>rate</x:v>
      </x:c>
      <x:c r="L213" s="5" t="str"/>
    </x:row>
    <x:row r="214" ht="20" hidden="0" customHeight="1">
      <x:c r="A214" s="5" t="str">
        <x:v>paired_ablation</x:v>
      </x:c>
      <x:c r="B214" s="5" t="str">
        <x:v>development</x:v>
      </x:c>
      <x:c r="C214" s="5" t="str">
        <x:v>D3_EXTRACT_ONLY</x:v>
      </x:c>
      <x:c r="D214" s="5" t="str">
        <x:v>process_order_correct_rate</x:v>
      </x:c>
      <x:c r="E214" s="5" t="n">
        <x:v>4</x:v>
      </x:c>
      <x:c r="F214" s="5" t="n">
        <x:v>5</x:v>
      </x:c>
      <x:c r="G214" s="10" t="n">
        <x:f>IF(COUNTBLANK(E214:F214)&gt;0,"N/A",IF(F214=0,"N/A",E214/F214))</x:f>
        <x:v>0.8</x:v>
      </x:c>
      <x:c r="H214" s="5" t="str">
        <x:v>Silver</x:v>
      </x:c>
      <x:c r="I214" s="5" t="n">
        <x:v>28</x:v>
      </x:c>
      <x:c r="J214" s="5" t="n">
        <x:v>23</x:v>
      </x:c>
      <x:c r="K214" s="5" t="str">
        <x:v>rate</x:v>
      </x:c>
      <x:c r="L214" s="5" t="str">
        <x:v>Correct / {Correct,Partially Correct,Incorrect}; insufficient and uncertain excluded; same-model Silver</x:v>
      </x:c>
    </x:row>
    <x:row r="215" ht="20" hidden="0" customHeight="1">
      <x:c r="A215" s="5" t="str">
        <x:v>paired_ablation</x:v>
      </x:c>
      <x:c r="B215" s="5" t="str">
        <x:v>development</x:v>
      </x:c>
      <x:c r="C215" s="5" t="str">
        <x:v>D3_EXTRACT_ONLY</x:v>
      </x:c>
      <x:c r="D215" s="5" t="str">
        <x:v>process_order_partially_correct_rate</x:v>
      </x:c>
      <x:c r="E215" s="5" t="n">
        <x:v>1</x:v>
      </x:c>
      <x:c r="F215" s="5" t="n">
        <x:v>5</x:v>
      </x:c>
      <x:c r="G215" s="10" t="n">
        <x:f>IF(COUNTBLANK(E215:F215)&gt;0,"N/A",IF(F215=0,"N/A",E215/F215))</x:f>
        <x:v>0.2</x:v>
      </x:c>
      <x:c r="H215" s="5" t="str">
        <x:v>Silver</x:v>
      </x:c>
      <x:c r="I215" s="5" t="n">
        <x:v>28</x:v>
      </x:c>
      <x:c r="J215" s="5" t="n">
        <x:v>23</x:v>
      </x:c>
      <x:c r="K215" s="5" t="str">
        <x:v>rate</x:v>
      </x:c>
      <x:c r="L215" s="5" t="str"/>
    </x:row>
    <x:row r="216" ht="20" hidden="0" customHeight="1">
      <x:c r="A216" s="5" t="str">
        <x:v>paired_ablation</x:v>
      </x:c>
      <x:c r="B216" s="5" t="str">
        <x:v>development</x:v>
      </x:c>
      <x:c r="C216" s="5" t="str">
        <x:v>D3_EXTRACT_ONLY</x:v>
      </x:c>
      <x:c r="D216" s="5" t="str">
        <x:v>parameters_correct_rate</x:v>
      </x:c>
      <x:c r="E216" s="5" t="n">
        <x:v>10</x:v>
      </x:c>
      <x:c r="F216" s="5" t="n">
        <x:v>16</x:v>
      </x:c>
      <x:c r="G216" s="10" t="n">
        <x:f>IF(COUNTBLANK(E216:F216)&gt;0,"N/A",IF(F216=0,"N/A",E216/F216))</x:f>
        <x:v>0.625</x:v>
      </x:c>
      <x:c r="H216" s="5" t="str">
        <x:v>Silver</x:v>
      </x:c>
      <x:c r="I216" s="5" t="n">
        <x:v>28</x:v>
      </x:c>
      <x:c r="J216" s="5" t="n">
        <x:v>12</x:v>
      </x:c>
      <x:c r="K216" s="5" t="str">
        <x:v>rate</x:v>
      </x:c>
      <x:c r="L216" s="5" t="str">
        <x:v>Correct / {Correct,Partially Correct,Incorrect}; insufficient and uncertain excluded; same-model Silver</x:v>
      </x:c>
    </x:row>
    <x:row r="217" ht="20" hidden="0" customHeight="1">
      <x:c r="A217" s="5" t="str">
        <x:v>paired_ablation</x:v>
      </x:c>
      <x:c r="B217" s="5" t="str">
        <x:v>development</x:v>
      </x:c>
      <x:c r="C217" s="5" t="str">
        <x:v>D3_EXTRACT_ONLY</x:v>
      </x:c>
      <x:c r="D217" s="5" t="str">
        <x:v>parameters_partially_correct_rate</x:v>
      </x:c>
      <x:c r="E217" s="5" t="n">
        <x:v>6</x:v>
      </x:c>
      <x:c r="F217" s="5" t="n">
        <x:v>16</x:v>
      </x:c>
      <x:c r="G217" s="10" t="n">
        <x:f>IF(COUNTBLANK(E217:F217)&gt;0,"N/A",IF(F217=0,"N/A",E217/F217))</x:f>
        <x:v>0.375</x:v>
      </x:c>
      <x:c r="H217" s="5" t="str">
        <x:v>Silver</x:v>
      </x:c>
      <x:c r="I217" s="5" t="n">
        <x:v>28</x:v>
      </x:c>
      <x:c r="J217" s="5" t="n">
        <x:v>12</x:v>
      </x:c>
      <x:c r="K217" s="5" t="str">
        <x:v>rate</x:v>
      </x:c>
      <x:c r="L217" s="5" t="str"/>
    </x:row>
    <x:row r="218" ht="20" hidden="0" customHeight="1">
      <x:c r="A218" s="5" t="str">
        <x:v>paired_ablation</x:v>
      </x:c>
      <x:c r="B218" s="5" t="str">
        <x:v>development</x:v>
      </x:c>
      <x:c r="C218" s="5" t="str">
        <x:v>D3_EXTRACT_ONLY</x:v>
      </x:c>
      <x:c r="D218" s="5" t="str">
        <x:v>effects_correct_rate</x:v>
      </x:c>
      <x:c r="E218" s="5" t="n">
        <x:v>19</x:v>
      </x:c>
      <x:c r="F218" s="5" t="n">
        <x:v>19</x:v>
      </x:c>
      <x:c r="G218" s="10" t="n">
        <x:f>IF(COUNTBLANK(E218:F218)&gt;0,"N/A",IF(F218=0,"N/A",E218/F218))</x:f>
        <x:v>1</x:v>
      </x:c>
      <x:c r="H218" s="5" t="str">
        <x:v>Silver</x:v>
      </x:c>
      <x:c r="I218" s="5" t="n">
        <x:v>28</x:v>
      </x:c>
      <x:c r="J218" s="5" t="n">
        <x:v>9</x:v>
      </x:c>
      <x:c r="K218" s="5" t="str">
        <x:v>rate</x:v>
      </x:c>
      <x:c r="L218" s="5" t="str">
        <x:v>Correct / {Correct,Partially Correct,Incorrect}; insufficient and uncertain excluded; same-model Silver</x:v>
      </x:c>
    </x:row>
    <x:row r="219" ht="20" hidden="0" customHeight="1">
      <x:c r="A219" s="5" t="str">
        <x:v>paired_ablation</x:v>
      </x:c>
      <x:c r="B219" s="5" t="str">
        <x:v>development</x:v>
      </x:c>
      <x:c r="C219" s="5" t="str">
        <x:v>D3_EXTRACT_ONLY</x:v>
      </x:c>
      <x:c r="D219" s="5" t="str">
        <x:v>effects_partially_correct_rate</x:v>
      </x:c>
      <x:c r="E219" s="5" t="n">
        <x:v>0</x:v>
      </x:c>
      <x:c r="F219" s="5" t="n">
        <x:v>19</x:v>
      </x:c>
      <x:c r="G219" s="10" t="n">
        <x:f>IF(COUNTBLANK(E219:F219)&gt;0,"N/A",IF(F219=0,"N/A",E219/F219))</x:f>
        <x:v>0</x:v>
      </x:c>
      <x:c r="H219" s="5" t="str">
        <x:v>Silver</x:v>
      </x:c>
      <x:c r="I219" s="5" t="n">
        <x:v>28</x:v>
      </x:c>
      <x:c r="J219" s="5" t="n">
        <x:v>9</x:v>
      </x:c>
      <x:c r="K219" s="5" t="str">
        <x:v>rate</x:v>
      </x:c>
      <x:c r="L219" s="5" t="str"/>
    </x:row>
    <x:row r="220" ht="20" hidden="0" customHeight="1">
      <x:c r="A220" s="5" t="str">
        <x:v>paired_ablation</x:v>
      </x:c>
      <x:c r="B220" s="5" t="str">
        <x:v>development</x:v>
      </x:c>
      <x:c r="C220" s="5" t="str">
        <x:v>D3_EXTRACT_ONLY</x:v>
      </x:c>
      <x:c r="D220" s="5" t="str">
        <x:v>multiple_contributions_correct_rate</x:v>
      </x:c>
      <x:c r="E220" s="5" t="n">
        <x:v>24</x:v>
      </x:c>
      <x:c r="F220" s="5" t="n">
        <x:v>26</x:v>
      </x:c>
      <x:c r="G220" s="10" t="n">
        <x:f>IF(COUNTBLANK(E220:F220)&gt;0,"N/A",IF(F220=0,"N/A",E220/F220))</x:f>
        <x:v>0.9230769230769231</x:v>
      </x:c>
      <x:c r="H220" s="5" t="str">
        <x:v>Silver</x:v>
      </x:c>
      <x:c r="I220" s="5" t="n">
        <x:v>28</x:v>
      </x:c>
      <x:c r="J220" s="5" t="n">
        <x:v>2</x:v>
      </x:c>
      <x:c r="K220" s="5" t="str">
        <x:v>rate</x:v>
      </x:c>
      <x:c r="L220" s="5" t="str">
        <x:v>Correct / {Correct,Partially Correct,Incorrect}; insufficient and uncertain excluded; same-model Silver</x:v>
      </x:c>
    </x:row>
    <x:row r="221" ht="20" hidden="0" customHeight="1">
      <x:c r="A221" s="5" t="str">
        <x:v>paired_ablation</x:v>
      </x:c>
      <x:c r="B221" s="5" t="str">
        <x:v>development</x:v>
      </x:c>
      <x:c r="C221" s="5" t="str">
        <x:v>D3_EXTRACT_ONLY</x:v>
      </x:c>
      <x:c r="D221" s="5" t="str">
        <x:v>multiple_contributions_partially_correct_rate</x:v>
      </x:c>
      <x:c r="E221" s="5" t="n">
        <x:v>2</x:v>
      </x:c>
      <x:c r="F221" s="5" t="n">
        <x:v>26</x:v>
      </x:c>
      <x:c r="G221" s="10" t="n">
        <x:f>IF(COUNTBLANK(E221:F221)&gt;0,"N/A",IF(F221=0,"N/A",E221/F221))</x:f>
        <x:v>0.07692307692307693</x:v>
      </x:c>
      <x:c r="H221" s="5" t="str">
        <x:v>Silver</x:v>
      </x:c>
      <x:c r="I221" s="5" t="n">
        <x:v>28</x:v>
      </x:c>
      <x:c r="J221" s="5" t="n">
        <x:v>2</x:v>
      </x:c>
      <x:c r="K221" s="5" t="str">
        <x:v>rate</x:v>
      </x:c>
      <x:c r="L221" s="5" t="str"/>
    </x:row>
    <x:row r="222" ht="20" hidden="0" customHeight="1">
      <x:c r="A222" s="5" t="str">
        <x:v>paired_ablation</x:v>
      </x:c>
      <x:c r="B222" s="5" t="str">
        <x:v>development</x:v>
      </x:c>
      <x:c r="C222" s="5" t="str">
        <x:v>D3_EXTRACT_ONLY</x:v>
      </x:c>
      <x:c r="D222" s="5" t="str">
        <x:v>hallucination_correct_rate</x:v>
      </x:c>
      <x:c r="E222" s="5" t="n">
        <x:v>28</x:v>
      </x:c>
      <x:c r="F222" s="5" t="n">
        <x:v>28</x:v>
      </x:c>
      <x:c r="G222" s="10" t="n">
        <x:f>IF(COUNTBLANK(E222:F222)&gt;0,"N/A",IF(F222=0,"N/A",E222/F222))</x:f>
        <x:v>1</x:v>
      </x:c>
      <x:c r="H222" s="5" t="str">
        <x:v>Silver</x:v>
      </x:c>
      <x:c r="I222" s="5" t="n">
        <x:v>28</x:v>
      </x:c>
      <x:c r="J222" s="5" t="n">
        <x:v>0</x:v>
      </x:c>
      <x:c r="K222" s="5" t="str">
        <x:v>rate</x:v>
      </x:c>
      <x:c r="L222" s="5" t="str">
        <x:v>Correct / {Correct,Partially Correct,Incorrect}; insufficient and uncertain excluded; same-model Silver</x:v>
      </x:c>
    </x:row>
    <x:row r="223" ht="20" hidden="0" customHeight="1">
      <x:c r="A223" s="5" t="str">
        <x:v>paired_ablation</x:v>
      </x:c>
      <x:c r="B223" s="5" t="str">
        <x:v>development</x:v>
      </x:c>
      <x:c r="C223" s="5" t="str">
        <x:v>D3_EXTRACT_ONLY</x:v>
      </x:c>
      <x:c r="D223" s="5" t="str">
        <x:v>hallucination_partially_correct_rate</x:v>
      </x:c>
      <x:c r="E223" s="5" t="n">
        <x:v>0</x:v>
      </x:c>
      <x:c r="F223" s="5" t="n">
        <x:v>28</x:v>
      </x:c>
      <x:c r="G223" s="10" t="n">
        <x:f>IF(COUNTBLANK(E223:F223)&gt;0,"N/A",IF(F223=0,"N/A",E223/F223))</x:f>
        <x:v>0</x:v>
      </x:c>
      <x:c r="H223" s="5" t="str">
        <x:v>Silver</x:v>
      </x:c>
      <x:c r="I223" s="5" t="n">
        <x:v>28</x:v>
      </x:c>
      <x:c r="J223" s="5" t="n">
        <x:v>0</x:v>
      </x:c>
      <x:c r="K223" s="5" t="str">
        <x:v>rate</x:v>
      </x:c>
      <x:c r="L223" s="5" t="str"/>
    </x:row>
    <x:row r="224" ht="31" hidden="0" customHeight="1">
      <x:c r="A224" s="5" t="str">
        <x:v>paired_ablation</x:v>
      </x:c>
      <x:c r="B224" s="5" t="str">
        <x:v>development</x:v>
      </x:c>
      <x:c r="C224" s="5" t="str">
        <x:v>D3_EXTRACT_ONLY</x:v>
      </x:c>
      <x:c r="D224" s="5" t="str">
        <x:v>contribution_coverage</x:v>
      </x:c>
      <x:c r="E224" s="5" t="n">
        <x:v>33</x:v>
      </x:c>
      <x:c r="F224" s="5" t="n">
        <x:v>32</x:v>
      </x:c>
      <x:c r="G224" s="10" t="n">
        <x:f>IF(COUNTBLANK(E224:F224)&gt;0,"N/A",IF(F224=0,"N/A",E224/F224))</x:f>
        <x:v>1.03125</x:v>
      </x:c>
      <x:c r="H224" s="5" t="str">
        <x:v>Silver</x:v>
      </x:c>
      <x:c r="I224" s="5" t="n">
        <x:v>28</x:v>
      </x:c>
      <x:c r="J224" s="5" t="n">
        <x:v>3</x:v>
      </x:c>
      <x:c r="K224" s="5" t="str">
        <x:v>rate</x:v>
      </x:c>
      <x:c r="L224" s="5" t="str">
        <x:v>Source-reference denominators required consistent across matched configs; disagreements/zero applicability excluded</x:v>
      </x:c>
    </x:row>
    <x:row r="225" ht="31" hidden="0" customHeight="1">
      <x:c r="A225" s="5" t="str">
        <x:v>paired_ablation</x:v>
      </x:c>
      <x:c r="B225" s="5" t="str">
        <x:v>development</x:v>
      </x:c>
      <x:c r="C225" s="5" t="str">
        <x:v>D3_EXTRACT_ONLY</x:v>
      </x:c>
      <x:c r="D225" s="5" t="str">
        <x:v>material_retention</x:v>
      </x:c>
      <x:c r="E225" s="5" t="n">
        <x:v>40</x:v>
      </x:c>
      <x:c r="F225" s="5" t="n">
        <x:v>45</x:v>
      </x:c>
      <x:c r="G225" s="10" t="n">
        <x:f>IF(COUNTBLANK(E225:F225)&gt;0,"N/A",IF(F225=0,"N/A",E225/F225))</x:f>
        <x:v>0.8888888888888888</x:v>
      </x:c>
      <x:c r="H225" s="5" t="str">
        <x:v>Silver</x:v>
      </x:c>
      <x:c r="I225" s="5" t="n">
        <x:v>28</x:v>
      </x:c>
      <x:c r="J225" s="5" t="n">
        <x:v>8</x:v>
      </x:c>
      <x:c r="K225" s="5" t="str">
        <x:v>rate</x:v>
      </x:c>
      <x:c r="L225" s="5" t="str">
        <x:v>Source-reference denominators required consistent across matched configs; disagreements/zero applicability excluded</x:v>
      </x:c>
    </x:row>
    <x:row r="226" ht="31" hidden="0" customHeight="1">
      <x:c r="A226" s="5" t="str">
        <x:v>paired_ablation</x:v>
      </x:c>
      <x:c r="B226" s="5" t="str">
        <x:v>development</x:v>
      </x:c>
      <x:c r="C226" s="5" t="str">
        <x:v>D3_EXTRACT_ONLY</x:v>
      </x:c>
      <x:c r="D226" s="5" t="str">
        <x:v>process_retention</x:v>
      </x:c>
      <x:c r="E226" s="5" t="n">
        <x:v>36</x:v>
      </x:c>
      <x:c r="F226" s="5" t="n">
        <x:v>37</x:v>
      </x:c>
      <x:c r="G226" s="10" t="n">
        <x:f>IF(COUNTBLANK(E226:F226)&gt;0,"N/A",IF(F226=0,"N/A",E226/F226))</x:f>
        <x:v>0.972972972972973</x:v>
      </x:c>
      <x:c r="H226" s="5" t="str">
        <x:v>Silver</x:v>
      </x:c>
      <x:c r="I226" s="5" t="n">
        <x:v>28</x:v>
      </x:c>
      <x:c r="J226" s="5" t="n">
        <x:v>12</x:v>
      </x:c>
      <x:c r="K226" s="5" t="str">
        <x:v>rate</x:v>
      </x:c>
      <x:c r="L226" s="5" t="str">
        <x:v>Source-reference denominators required consistent across matched configs; disagreements/zero applicability excluded</x:v>
      </x:c>
    </x:row>
    <x:row r="227" ht="20" hidden="0" customHeight="1">
      <x:c r="A227" s="5" t="str">
        <x:v>paired_ablation</x:v>
      </x:c>
      <x:c r="B227" s="5" t="str">
        <x:v>development</x:v>
      </x:c>
      <x:c r="C227" s="5" t="str">
        <x:v>D3_EXTRACT_ONLY</x:v>
      </x:c>
      <x:c r="D227" s="5" t="str">
        <x:v>multi_contribution_omission_rate</x:v>
      </x:c>
      <x:c r="E227" s="5" t="n">
        <x:v>0</x:v>
      </x:c>
      <x:c r="F227" s="5" t="n">
        <x:v>3</x:v>
      </x:c>
      <x:c r="G227" s="10" t="n">
        <x:f>IF(COUNTBLANK(E227:F227)&gt;0,"N/A",IF(F227=0,"N/A",E227/F227))</x:f>
        <x:v>0</x:v>
      </x:c>
      <x:c r="H227" s="5" t="str">
        <x:v>Silver</x:v>
      </x:c>
      <x:c r="I227" s="5" t="n">
        <x:v>28</x:v>
      </x:c>
      <x:c r="J227" s="5" t="n">
        <x:v>25</x:v>
      </x:c>
      <x:c r="K227" s="5" t="str">
        <x:v>rate</x:v>
      </x:c>
      <x:c r="L227" s="5" t="str"/>
    </x:row>
    <x:row r="228" ht="20" hidden="0" customHeight="1">
      <x:c r="A228" s="5" t="str">
        <x:v>paired_ablation</x:v>
      </x:c>
      <x:c r="B228" s="5" t="str">
        <x:v>development</x:v>
      </x:c>
      <x:c r="C228" s="5" t="str">
        <x:v>D3_EXTRACT_ONLY</x:v>
      </x:c>
      <x:c r="D228" s="5" t="str">
        <x:v>full_conclusion_support_rate</x:v>
      </x:c>
      <x:c r="E228" s="5" t="n">
        <x:v>23</x:v>
      </x:c>
      <x:c r="F228" s="5" t="n">
        <x:v>25</x:v>
      </x:c>
      <x:c r="G228" s="10" t="n">
        <x:f>IF(COUNTBLANK(E228:F228)&gt;0,"N/A",IF(F228=0,"N/A",E228/F228))</x:f>
        <x:v>0.92</x:v>
      </x:c>
      <x:c r="H228" s="5" t="str">
        <x:v>Silver</x:v>
      </x:c>
      <x:c r="I228" s="5" t="n">
        <x:v>28</x:v>
      </x:c>
      <x:c r="J228" s="5" t="n">
        <x:v>3</x:v>
      </x:c>
      <x:c r="K228" s="5" t="str">
        <x:v>rate</x:v>
      </x:c>
      <x:c r="L228" s="5" t="str"/>
    </x:row>
    <x:row r="229" ht="20" hidden="0" customHeight="1">
      <x:c r="A229" s="5" t="str">
        <x:v>paired_ablation</x:v>
      </x:c>
      <x:c r="B229" s="5" t="str">
        <x:v>development</x:v>
      </x:c>
      <x:c r="C229" s="5" t="str">
        <x:v>D3_EXTRACT_ONLY</x:v>
      </x:c>
      <x:c r="D229" s="5" t="str">
        <x:v>mean_contributions_per_family</x:v>
      </x:c>
      <x:c r="E229" s="5" t="n">
        <x:v>33</x:v>
      </x:c>
      <x:c r="F229" s="5" t="n">
        <x:v>28</x:v>
      </x:c>
      <x:c r="G229" s="11" t="n">
        <x:f>IF(COUNTBLANK(E229:F229)&gt;0,"N/A",IF(F229=0,"N/A",E229/F229))</x:f>
        <x:v>1.1785714285714286</x:v>
      </x:c>
      <x:c r="H229" s="5" t="str">
        <x:v>Silver</x:v>
      </x:c>
      <x:c r="I229" s="5" t="n">
        <x:v>28</x:v>
      </x:c>
      <x:c r="J229" s="5" t="n">
        <x:v>0</x:v>
      </x:c>
      <x:c r="K229" s="5" t="str">
        <x:v>contributions/family</x:v>
      </x:c>
      <x:c r="L229" s="5" t="str"/>
    </x:row>
    <x:row r="230" ht="20" hidden="0" customHeight="1">
      <x:c r="A230" s="5" t="str">
        <x:v>paired_ablation</x:v>
      </x:c>
      <x:c r="B230" s="5" t="str">
        <x:v>development</x:v>
      </x:c>
      <x:c r="C230" s="5" t="str">
        <x:v>D3_EXTRACT_ONLY</x:v>
      </x:c>
      <x:c r="D230" s="5" t="str">
        <x:v>oversplit_contribution_rate</x:v>
      </x:c>
      <x:c r="E230" s="5" t="n">
        <x:v>1</x:v>
      </x:c>
      <x:c r="F230" s="5" t="n">
        <x:v>33</x:v>
      </x:c>
      <x:c r="G230" s="10" t="n">
        <x:f>IF(COUNTBLANK(E230:F230)&gt;0,"N/A",IF(F230=0,"N/A",E230/F230))</x:f>
        <x:v>0.030303030303030304</x:v>
      </x:c>
      <x:c r="H230" s="5" t="str">
        <x:v>Silver</x:v>
      </x:c>
      <x:c r="I230" s="5" t="n">
        <x:v>28</x:v>
      </x:c>
      <x:c r="J230" s="5" t="n">
        <x:v>0</x:v>
      </x:c>
      <x:c r="K230" s="5" t="str">
        <x:v>rate</x:v>
      </x:c>
      <x:c r="L230" s="5" t="str">
        <x:v>Auditor oversplit units / actual explicit output units; not a human error rate</x:v>
      </x:c>
    </x:row>
    <x:row r="231" ht="20" hidden="0" customHeight="1">
      <x:c r="A231" s="5" t="str">
        <x:v>paired_ablation</x:v>
      </x:c>
      <x:c r="B231" s="5" t="str">
        <x:v>development</x:v>
      </x:c>
      <x:c r="C231" s="5" t="str">
        <x:v>D3_EXTRACT_ONLY</x:v>
      </x:c>
      <x:c r="D231" s="5" t="str">
        <x:v>hallucinated_contribution_rate</x:v>
      </x:c>
      <x:c r="E231" s="5" t="n">
        <x:v>0</x:v>
      </x:c>
      <x:c r="F231" s="5" t="n">
        <x:v>33</x:v>
      </x:c>
      <x:c r="G231" s="10" t="n">
        <x:f>IF(COUNTBLANK(E231:F231)&gt;0,"N/A",IF(F231=0,"N/A",E231/F231))</x:f>
        <x:v>0</x:v>
      </x:c>
      <x:c r="H231" s="5" t="str">
        <x:v>Silver</x:v>
      </x:c>
      <x:c r="I231" s="5" t="n">
        <x:v>28</x:v>
      </x:c>
      <x:c r="J231" s="5" t="n">
        <x:v>0</x:v>
      </x:c>
      <x:c r="K231" s="5" t="str">
        <x:v>rate</x:v>
      </x:c>
      <x:c r="L231" s="5" t="str"/>
    </x:row>
    <x:row r="232" ht="20" hidden="0" customHeight="1">
      <x:c r="A232" s="5" t="str">
        <x:v>paired_ablation</x:v>
      </x:c>
      <x:c r="B232" s="5" t="str">
        <x:v>development</x:v>
      </x:c>
      <x:c r="C232" s="5" t="str">
        <x:v>D3_EXTRACT_ONLY</x:v>
      </x:c>
      <x:c r="D232" s="5" t="str">
        <x:v>technical_mechanism_gold_accuracy</x:v>
      </x:c>
      <x:c r="E232" s="5"/>
      <x:c r="F232" s="5"/>
      <x:c r="G232" s="10" t="str">
        <x:f>IF(COUNTBLANK(E232:F232)&gt;0,"N/A",IF(F232=0,"N/A",E232/F232))</x:f>
        <x:v>N/A</x:v>
      </x:c>
      <x:c r="H232" s="5" t="str">
        <x:v>Gold</x:v>
      </x:c>
      <x:c r="I232" s="5" t="n">
        <x:v>0</x:v>
      </x:c>
      <x:c r="J232" s="5" t="n">
        <x:v>0</x:v>
      </x:c>
      <x:c r="K232" s="5" t="str">
        <x:v>rate</x:v>
      </x:c>
      <x:c r="L232" s="5" t="str">
        <x:v>N/A: zero independent human Gold labels; AI must not be promoted to human truth</x:v>
      </x:c>
    </x:row>
    <x:row r="233" ht="20" hidden="0" customHeight="1">
      <x:c r="A233" s="5" t="str">
        <x:v>paired_ablation</x:v>
      </x:c>
      <x:c r="B233" s="5" t="str">
        <x:v>development</x:v>
      </x:c>
      <x:c r="C233" s="5" t="str">
        <x:v>D3_EXTRACT_ONLY</x:v>
      </x:c>
      <x:c r="D233" s="5" t="str">
        <x:v>materials_gold_accuracy</x:v>
      </x:c>
      <x:c r="E233" s="5"/>
      <x:c r="F233" s="5"/>
      <x:c r="G233" s="10" t="str">
        <x:f>IF(COUNTBLANK(E233:F233)&gt;0,"N/A",IF(F233=0,"N/A",E233/F233))</x:f>
        <x:v>N/A</x:v>
      </x:c>
      <x:c r="H233" s="5" t="str">
        <x:v>Gold</x:v>
      </x:c>
      <x:c r="I233" s="5" t="n">
        <x:v>0</x:v>
      </x:c>
      <x:c r="J233" s="5" t="n">
        <x:v>0</x:v>
      </x:c>
      <x:c r="K233" s="5" t="str">
        <x:v>rate</x:v>
      </x:c>
      <x:c r="L233" s="5" t="str">
        <x:v>N/A: zero independent human Gold labels; AI must not be promoted to human truth</x:v>
      </x:c>
    </x:row>
    <x:row r="234" ht="20" hidden="0" customHeight="1">
      <x:c r="A234" s="5" t="str">
        <x:v>paired_ablation</x:v>
      </x:c>
      <x:c r="B234" s="5" t="str">
        <x:v>development</x:v>
      </x:c>
      <x:c r="C234" s="5" t="str">
        <x:v>D3_EXTRACT_ONLY</x:v>
      </x:c>
      <x:c r="D234" s="5" t="str">
        <x:v>process_method_gold_accuracy</x:v>
      </x:c>
      <x:c r="E234" s="5"/>
      <x:c r="F234" s="5"/>
      <x:c r="G234" s="10" t="str">
        <x:f>IF(COUNTBLANK(E234:F234)&gt;0,"N/A",IF(F234=0,"N/A",E234/F234))</x:f>
        <x:v>N/A</x:v>
      </x:c>
      <x:c r="H234" s="5" t="str">
        <x:v>Gold</x:v>
      </x:c>
      <x:c r="I234" s="5" t="n">
        <x:v>0</x:v>
      </x:c>
      <x:c r="J234" s="5" t="n">
        <x:v>0</x:v>
      </x:c>
      <x:c r="K234" s="5" t="str">
        <x:v>rate</x:v>
      </x:c>
      <x:c r="L234" s="5" t="str">
        <x:v>N/A: zero independent human Gold labels; AI must not be promoted to human truth</x:v>
      </x:c>
    </x:row>
    <x:row r="235" ht="20" hidden="0" customHeight="1">
      <x:c r="A235" s="5" t="str">
        <x:v>paired_ablation</x:v>
      </x:c>
      <x:c r="B235" s="5" t="str">
        <x:v>development</x:v>
      </x:c>
      <x:c r="C235" s="5" t="str">
        <x:v>D3_EXTRACT_ONLY</x:v>
      </x:c>
      <x:c r="D235" s="5" t="str">
        <x:v>parameters_gold_accuracy</x:v>
      </x:c>
      <x:c r="E235" s="5"/>
      <x:c r="F235" s="5"/>
      <x:c r="G235" s="10" t="str">
        <x:f>IF(COUNTBLANK(E235:F235)&gt;0,"N/A",IF(F235=0,"N/A",E235/F235))</x:f>
        <x:v>N/A</x:v>
      </x:c>
      <x:c r="H235" s="5" t="str">
        <x:v>Gold</x:v>
      </x:c>
      <x:c r="I235" s="5" t="n">
        <x:v>0</x:v>
      </x:c>
      <x:c r="J235" s="5" t="n">
        <x:v>0</x:v>
      </x:c>
      <x:c r="K235" s="5" t="str">
        <x:v>rate</x:v>
      </x:c>
      <x:c r="L235" s="5" t="str">
        <x:v>N/A: zero independent human Gold labels; AI must not be promoted to human truth</x:v>
      </x:c>
    </x:row>
    <x:row r="236" ht="20" hidden="0" customHeight="1">
      <x:c r="A236" s="5" t="str">
        <x:v>paired_ablation</x:v>
      </x:c>
      <x:c r="B236" s="5" t="str">
        <x:v>development</x:v>
      </x:c>
      <x:c r="C236" s="5" t="str">
        <x:v>D3_EXTRACT_ONLY</x:v>
      </x:c>
      <x:c r="D236" s="5" t="str">
        <x:v>multiple_contributions_gold_accuracy</x:v>
      </x:c>
      <x:c r="E236" s="5"/>
      <x:c r="F236" s="5"/>
      <x:c r="G236" s="10" t="str">
        <x:f>IF(COUNTBLANK(E236:F236)&gt;0,"N/A",IF(F236=0,"N/A",E236/F236))</x:f>
        <x:v>N/A</x:v>
      </x:c>
      <x:c r="H236" s="5" t="str">
        <x:v>Gold</x:v>
      </x:c>
      <x:c r="I236" s="5" t="n">
        <x:v>0</x:v>
      </x:c>
      <x:c r="J236" s="5" t="n">
        <x:v>0</x:v>
      </x:c>
      <x:c r="K236" s="5" t="str">
        <x:v>rate</x:v>
      </x:c>
      <x:c r="L236" s="5" t="str">
        <x:v>N/A: zero independent human Gold labels; AI must not be promoted to human truth</x:v>
      </x:c>
    </x:row>
    <x:row r="237" ht="20" hidden="0" customHeight="1">
      <x:c r="A237" s="5" t="str">
        <x:v>paired_ablation</x:v>
      </x:c>
      <x:c r="B237" s="5" t="str">
        <x:v>development</x:v>
      </x:c>
      <x:c r="C237" s="5" t="str">
        <x:v>D3_FIDELITY</x:v>
      </x:c>
      <x:c r="D237" s="5" t="str">
        <x:v>technical_object_correct_rate</x:v>
      </x:c>
      <x:c r="E237" s="5" t="n">
        <x:v>27</x:v>
      </x:c>
      <x:c r="F237" s="5" t="n">
        <x:v>27</x:v>
      </x:c>
      <x:c r="G237" s="10" t="n">
        <x:f>IF(COUNTBLANK(E237:F237)&gt;0,"N/A",IF(F237=0,"N/A",E237/F237))</x:f>
        <x:v>1</x:v>
      </x:c>
      <x:c r="H237" s="5" t="str">
        <x:v>Silver</x:v>
      </x:c>
      <x:c r="I237" s="5" t="n">
        <x:v>28</x:v>
      </x:c>
      <x:c r="J237" s="5" t="n">
        <x:v>1</x:v>
      </x:c>
      <x:c r="K237" s="5" t="str">
        <x:v>rate</x:v>
      </x:c>
      <x:c r="L237" s="5" t="str">
        <x:v>Correct / {Correct,Partially Correct,Incorrect}; insufficient and uncertain excluded; same-model Silver</x:v>
      </x:c>
    </x:row>
    <x:row r="238" ht="20" hidden="0" customHeight="1">
      <x:c r="A238" s="5" t="str">
        <x:v>paired_ablation</x:v>
      </x:c>
      <x:c r="B238" s="5" t="str">
        <x:v>development</x:v>
      </x:c>
      <x:c r="C238" s="5" t="str">
        <x:v>D3_FIDELITY</x:v>
      </x:c>
      <x:c r="D238" s="5" t="str">
        <x:v>technical_object_partially_correct_rate</x:v>
      </x:c>
      <x:c r="E238" s="5" t="n">
        <x:v>0</x:v>
      </x:c>
      <x:c r="F238" s="5" t="n">
        <x:v>27</x:v>
      </x:c>
      <x:c r="G238" s="10" t="n">
        <x:f>IF(COUNTBLANK(E238:F238)&gt;0,"N/A",IF(F238=0,"N/A",E238/F238))</x:f>
        <x:v>0</x:v>
      </x:c>
      <x:c r="H238" s="5" t="str">
        <x:v>Silver</x:v>
      </x:c>
      <x:c r="I238" s="5" t="n">
        <x:v>28</x:v>
      </x:c>
      <x:c r="J238" s="5" t="n">
        <x:v>1</x:v>
      </x:c>
      <x:c r="K238" s="5" t="str">
        <x:v>rate</x:v>
      </x:c>
      <x:c r="L238" s="5" t="str"/>
    </x:row>
    <x:row r="239" ht="20" hidden="0" customHeight="1">
      <x:c r="A239" s="5" t="str">
        <x:v>paired_ablation</x:v>
      </x:c>
      <x:c r="B239" s="5" t="str">
        <x:v>development</x:v>
      </x:c>
      <x:c r="C239" s="5" t="str">
        <x:v>D3_FIDELITY</x:v>
      </x:c>
      <x:c r="D239" s="5" t="str">
        <x:v>technical_problem_correct_rate</x:v>
      </x:c>
      <x:c r="E239" s="5" t="n">
        <x:v>20</x:v>
      </x:c>
      <x:c r="F239" s="5" t="n">
        <x:v>20</x:v>
      </x:c>
      <x:c r="G239" s="10" t="n">
        <x:f>IF(COUNTBLANK(E239:F239)&gt;0,"N/A",IF(F239=0,"N/A",E239/F239))</x:f>
        <x:v>1</x:v>
      </x:c>
      <x:c r="H239" s="5" t="str">
        <x:v>Silver</x:v>
      </x:c>
      <x:c r="I239" s="5" t="n">
        <x:v>28</x:v>
      </x:c>
      <x:c r="J239" s="5" t="n">
        <x:v>8</x:v>
      </x:c>
      <x:c r="K239" s="5" t="str">
        <x:v>rate</x:v>
      </x:c>
      <x:c r="L239" s="5" t="str">
        <x:v>Correct / {Correct,Partially Correct,Incorrect}; insufficient and uncertain excluded; same-model Silver</x:v>
      </x:c>
    </x:row>
    <x:row r="240" ht="20" hidden="0" customHeight="1">
      <x:c r="A240" s="5" t="str">
        <x:v>paired_ablation</x:v>
      </x:c>
      <x:c r="B240" s="5" t="str">
        <x:v>development</x:v>
      </x:c>
      <x:c r="C240" s="5" t="str">
        <x:v>D3_FIDELITY</x:v>
      </x:c>
      <x:c r="D240" s="5" t="str">
        <x:v>technical_problem_partially_correct_rate</x:v>
      </x:c>
      <x:c r="E240" s="5" t="n">
        <x:v>0</x:v>
      </x:c>
      <x:c r="F240" s="5" t="n">
        <x:v>20</x:v>
      </x:c>
      <x:c r="G240" s="10" t="n">
        <x:f>IF(COUNTBLANK(E240:F240)&gt;0,"N/A",IF(F240=0,"N/A",E240/F240))</x:f>
        <x:v>0</x:v>
      </x:c>
      <x:c r="H240" s="5" t="str">
        <x:v>Silver</x:v>
      </x:c>
      <x:c r="I240" s="5" t="n">
        <x:v>28</x:v>
      </x:c>
      <x:c r="J240" s="5" t="n">
        <x:v>8</x:v>
      </x:c>
      <x:c r="K240" s="5" t="str">
        <x:v>rate</x:v>
      </x:c>
      <x:c r="L240" s="5" t="str"/>
    </x:row>
    <x:row r="241" ht="20" hidden="0" customHeight="1">
      <x:c r="A241" s="5" t="str">
        <x:v>paired_ablation</x:v>
      </x:c>
      <x:c r="B241" s="5" t="str">
        <x:v>development</x:v>
      </x:c>
      <x:c r="C241" s="5" t="str">
        <x:v>D3_FIDELITY</x:v>
      </x:c>
      <x:c r="D241" s="5" t="str">
        <x:v>technical_mechanism_correct_rate</x:v>
      </x:c>
      <x:c r="E241" s="5" t="n">
        <x:v>23</x:v>
      </x:c>
      <x:c r="F241" s="5" t="n">
        <x:v>25</x:v>
      </x:c>
      <x:c r="G241" s="10" t="n">
        <x:f>IF(COUNTBLANK(E241:F241)&gt;0,"N/A",IF(F241=0,"N/A",E241/F241))</x:f>
        <x:v>0.92</x:v>
      </x:c>
      <x:c r="H241" s="5" t="str">
        <x:v>Silver</x:v>
      </x:c>
      <x:c r="I241" s="5" t="n">
        <x:v>28</x:v>
      </x:c>
      <x:c r="J241" s="5" t="n">
        <x:v>3</x:v>
      </x:c>
      <x:c r="K241" s="5" t="str">
        <x:v>rate</x:v>
      </x:c>
      <x:c r="L241" s="5" t="str">
        <x:v>Correct / {Correct,Partially Correct,Incorrect}; insufficient and uncertain excluded; same-model Silver</x:v>
      </x:c>
    </x:row>
    <x:row r="242" ht="20" hidden="0" customHeight="1">
      <x:c r="A242" s="5" t="str">
        <x:v>paired_ablation</x:v>
      </x:c>
      <x:c r="B242" s="5" t="str">
        <x:v>development</x:v>
      </x:c>
      <x:c r="C242" s="5" t="str">
        <x:v>D3_FIDELITY</x:v>
      </x:c>
      <x:c r="D242" s="5" t="str">
        <x:v>technical_mechanism_partially_correct_rate</x:v>
      </x:c>
      <x:c r="E242" s="5" t="n">
        <x:v>2</x:v>
      </x:c>
      <x:c r="F242" s="5" t="n">
        <x:v>25</x:v>
      </x:c>
      <x:c r="G242" s="10" t="n">
        <x:f>IF(COUNTBLANK(E242:F242)&gt;0,"N/A",IF(F242=0,"N/A",E242/F242))</x:f>
        <x:v>0.08</x:v>
      </x:c>
      <x:c r="H242" s="5" t="str">
        <x:v>Silver</x:v>
      </x:c>
      <x:c r="I242" s="5" t="n">
        <x:v>28</x:v>
      </x:c>
      <x:c r="J242" s="5" t="n">
        <x:v>3</x:v>
      </x:c>
      <x:c r="K242" s="5" t="str">
        <x:v>rate</x:v>
      </x:c>
      <x:c r="L242" s="5" t="str"/>
    </x:row>
    <x:row r="243" ht="20" hidden="0" customHeight="1">
      <x:c r="A243" s="5" t="str">
        <x:v>paired_ablation</x:v>
      </x:c>
      <x:c r="B243" s="5" t="str">
        <x:v>development</x:v>
      </x:c>
      <x:c r="C243" s="5" t="str">
        <x:v>D3_FIDELITY</x:v>
      </x:c>
      <x:c r="D243" s="5" t="str">
        <x:v>materials_correct_rate</x:v>
      </x:c>
      <x:c r="E243" s="5" t="n">
        <x:v>16</x:v>
      </x:c>
      <x:c r="F243" s="5" t="n">
        <x:v>22</x:v>
      </x:c>
      <x:c r="G243" s="10" t="n">
        <x:f>IF(COUNTBLANK(E243:F243)&gt;0,"N/A",IF(F243=0,"N/A",E243/F243))</x:f>
        <x:v>0.7272727272727273</x:v>
      </x:c>
      <x:c r="H243" s="5" t="str">
        <x:v>Silver</x:v>
      </x:c>
      <x:c r="I243" s="5" t="n">
        <x:v>28</x:v>
      </x:c>
      <x:c r="J243" s="5" t="n">
        <x:v>6</x:v>
      </x:c>
      <x:c r="K243" s="5" t="str">
        <x:v>rate</x:v>
      </x:c>
      <x:c r="L243" s="5" t="str">
        <x:v>Correct / {Correct,Partially Correct,Incorrect}; insufficient and uncertain excluded; same-model Silver</x:v>
      </x:c>
    </x:row>
    <x:row r="244" ht="20" hidden="0" customHeight="1">
      <x:c r="A244" s="5" t="str">
        <x:v>paired_ablation</x:v>
      </x:c>
      <x:c r="B244" s="5" t="str">
        <x:v>development</x:v>
      </x:c>
      <x:c r="C244" s="5" t="str">
        <x:v>D3_FIDELITY</x:v>
      </x:c>
      <x:c r="D244" s="5" t="str">
        <x:v>materials_partially_correct_rate</x:v>
      </x:c>
      <x:c r="E244" s="5" t="n">
        <x:v>6</x:v>
      </x:c>
      <x:c r="F244" s="5" t="n">
        <x:v>22</x:v>
      </x:c>
      <x:c r="G244" s="10" t="n">
        <x:f>IF(COUNTBLANK(E244:F244)&gt;0,"N/A",IF(F244=0,"N/A",E244/F244))</x:f>
        <x:v>0.2727272727272727</x:v>
      </x:c>
      <x:c r="H244" s="5" t="str">
        <x:v>Silver</x:v>
      </x:c>
      <x:c r="I244" s="5" t="n">
        <x:v>28</x:v>
      </x:c>
      <x:c r="J244" s="5" t="n">
        <x:v>6</x:v>
      </x:c>
      <x:c r="K244" s="5" t="str">
        <x:v>rate</x:v>
      </x:c>
      <x:c r="L244" s="5" t="str"/>
    </x:row>
    <x:row r="245" ht="20" hidden="0" customHeight="1">
      <x:c r="A245" s="5" t="str">
        <x:v>paired_ablation</x:v>
      </x:c>
      <x:c r="B245" s="5" t="str">
        <x:v>development</x:v>
      </x:c>
      <x:c r="C245" s="5" t="str">
        <x:v>D3_FIDELITY</x:v>
      </x:c>
      <x:c r="D245" s="5" t="str">
        <x:v>process_method_correct_rate</x:v>
      </x:c>
      <x:c r="E245" s="5" t="n">
        <x:v>12</x:v>
      </x:c>
      <x:c r="F245" s="5" t="n">
        <x:v>15</x:v>
      </x:c>
      <x:c r="G245" s="10" t="n">
        <x:f>IF(COUNTBLANK(E245:F245)&gt;0,"N/A",IF(F245=0,"N/A",E245/F245))</x:f>
        <x:v>0.8</x:v>
      </x:c>
      <x:c r="H245" s="5" t="str">
        <x:v>Silver</x:v>
      </x:c>
      <x:c r="I245" s="5" t="n">
        <x:v>28</x:v>
      </x:c>
      <x:c r="J245" s="5" t="n">
        <x:v>13</x:v>
      </x:c>
      <x:c r="K245" s="5" t="str">
        <x:v>rate</x:v>
      </x:c>
      <x:c r="L245" s="5" t="str">
        <x:v>Correct / {Correct,Partially Correct,Incorrect}; insufficient and uncertain excluded; same-model Silver</x:v>
      </x:c>
    </x:row>
    <x:row r="246" ht="20" hidden="0" customHeight="1">
      <x:c r="A246" s="5" t="str">
        <x:v>paired_ablation</x:v>
      </x:c>
      <x:c r="B246" s="5" t="str">
        <x:v>development</x:v>
      </x:c>
      <x:c r="C246" s="5" t="str">
        <x:v>D3_FIDELITY</x:v>
      </x:c>
      <x:c r="D246" s="5" t="str">
        <x:v>process_method_partially_correct_rate</x:v>
      </x:c>
      <x:c r="E246" s="5" t="n">
        <x:v>3</x:v>
      </x:c>
      <x:c r="F246" s="5" t="n">
        <x:v>15</x:v>
      </x:c>
      <x:c r="G246" s="10" t="n">
        <x:f>IF(COUNTBLANK(E246:F246)&gt;0,"N/A",IF(F246=0,"N/A",E246/F246))</x:f>
        <x:v>0.2</x:v>
      </x:c>
      <x:c r="H246" s="5" t="str">
        <x:v>Silver</x:v>
      </x:c>
      <x:c r="I246" s="5" t="n">
        <x:v>28</x:v>
      </x:c>
      <x:c r="J246" s="5" t="n">
        <x:v>13</x:v>
      </x:c>
      <x:c r="K246" s="5" t="str">
        <x:v>rate</x:v>
      </x:c>
      <x:c r="L246" s="5" t="str"/>
    </x:row>
    <x:row r="247" ht="20" hidden="0" customHeight="1">
      <x:c r="A247" s="5" t="str">
        <x:v>paired_ablation</x:v>
      </x:c>
      <x:c r="B247" s="5" t="str">
        <x:v>development</x:v>
      </x:c>
      <x:c r="C247" s="5" t="str">
        <x:v>D3_FIDELITY</x:v>
      </x:c>
      <x:c r="D247" s="5" t="str">
        <x:v>process_order_correct_rate</x:v>
      </x:c>
      <x:c r="E247" s="5" t="n">
        <x:v>5</x:v>
      </x:c>
      <x:c r="F247" s="5" t="n">
        <x:v>5</x:v>
      </x:c>
      <x:c r="G247" s="10" t="n">
        <x:f>IF(COUNTBLANK(E247:F247)&gt;0,"N/A",IF(F247=0,"N/A",E247/F247))</x:f>
        <x:v>1</x:v>
      </x:c>
      <x:c r="H247" s="5" t="str">
        <x:v>Silver</x:v>
      </x:c>
      <x:c r="I247" s="5" t="n">
        <x:v>28</x:v>
      </x:c>
      <x:c r="J247" s="5" t="n">
        <x:v>23</x:v>
      </x:c>
      <x:c r="K247" s="5" t="str">
        <x:v>rate</x:v>
      </x:c>
      <x:c r="L247" s="5" t="str">
        <x:v>Correct / {Correct,Partially Correct,Incorrect}; insufficient and uncertain excluded; same-model Silver</x:v>
      </x:c>
    </x:row>
    <x:row r="248" ht="20" hidden="0" customHeight="1">
      <x:c r="A248" s="5" t="str">
        <x:v>paired_ablation</x:v>
      </x:c>
      <x:c r="B248" s="5" t="str">
        <x:v>development</x:v>
      </x:c>
      <x:c r="C248" s="5" t="str">
        <x:v>D3_FIDELITY</x:v>
      </x:c>
      <x:c r="D248" s="5" t="str">
        <x:v>process_order_partially_correct_rate</x:v>
      </x:c>
      <x:c r="E248" s="5" t="n">
        <x:v>0</x:v>
      </x:c>
      <x:c r="F248" s="5" t="n">
        <x:v>5</x:v>
      </x:c>
      <x:c r="G248" s="10" t="n">
        <x:f>IF(COUNTBLANK(E248:F248)&gt;0,"N/A",IF(F248=0,"N/A",E248/F248))</x:f>
        <x:v>0</x:v>
      </x:c>
      <x:c r="H248" s="5" t="str">
        <x:v>Silver</x:v>
      </x:c>
      <x:c r="I248" s="5" t="n">
        <x:v>28</x:v>
      </x:c>
      <x:c r="J248" s="5" t="n">
        <x:v>23</x:v>
      </x:c>
      <x:c r="K248" s="5" t="str">
        <x:v>rate</x:v>
      </x:c>
      <x:c r="L248" s="5" t="str"/>
    </x:row>
    <x:row r="249" ht="20" hidden="0" customHeight="1">
      <x:c r="A249" s="5" t="str">
        <x:v>paired_ablation</x:v>
      </x:c>
      <x:c r="B249" s="5" t="str">
        <x:v>development</x:v>
      </x:c>
      <x:c r="C249" s="5" t="str">
        <x:v>D3_FIDELITY</x:v>
      </x:c>
      <x:c r="D249" s="5" t="str">
        <x:v>parameters_correct_rate</x:v>
      </x:c>
      <x:c r="E249" s="5" t="n">
        <x:v>12</x:v>
      </x:c>
      <x:c r="F249" s="5" t="n">
        <x:v>16</x:v>
      </x:c>
      <x:c r="G249" s="10" t="n">
        <x:f>IF(COUNTBLANK(E249:F249)&gt;0,"N/A",IF(F249=0,"N/A",E249/F249))</x:f>
        <x:v>0.75</x:v>
      </x:c>
      <x:c r="H249" s="5" t="str">
        <x:v>Silver</x:v>
      </x:c>
      <x:c r="I249" s="5" t="n">
        <x:v>28</x:v>
      </x:c>
      <x:c r="J249" s="5" t="n">
        <x:v>12</x:v>
      </x:c>
      <x:c r="K249" s="5" t="str">
        <x:v>rate</x:v>
      </x:c>
      <x:c r="L249" s="5" t="str">
        <x:v>Correct / {Correct,Partially Correct,Incorrect}; insufficient and uncertain excluded; same-model Silver</x:v>
      </x:c>
    </x:row>
    <x:row r="250" ht="20" hidden="0" customHeight="1">
      <x:c r="A250" s="5" t="str">
        <x:v>paired_ablation</x:v>
      </x:c>
      <x:c r="B250" s="5" t="str">
        <x:v>development</x:v>
      </x:c>
      <x:c r="C250" s="5" t="str">
        <x:v>D3_FIDELITY</x:v>
      </x:c>
      <x:c r="D250" s="5" t="str">
        <x:v>parameters_partially_correct_rate</x:v>
      </x:c>
      <x:c r="E250" s="5" t="n">
        <x:v>4</x:v>
      </x:c>
      <x:c r="F250" s="5" t="n">
        <x:v>16</x:v>
      </x:c>
      <x:c r="G250" s="10" t="n">
        <x:f>IF(COUNTBLANK(E250:F250)&gt;0,"N/A",IF(F250=0,"N/A",E250/F250))</x:f>
        <x:v>0.25</x:v>
      </x:c>
      <x:c r="H250" s="5" t="str">
        <x:v>Silver</x:v>
      </x:c>
      <x:c r="I250" s="5" t="n">
        <x:v>28</x:v>
      </x:c>
      <x:c r="J250" s="5" t="n">
        <x:v>12</x:v>
      </x:c>
      <x:c r="K250" s="5" t="str">
        <x:v>rate</x:v>
      </x:c>
      <x:c r="L250" s="5" t="str"/>
    </x:row>
    <x:row r="251" ht="20" hidden="0" customHeight="1">
      <x:c r="A251" s="5" t="str">
        <x:v>paired_ablation</x:v>
      </x:c>
      <x:c r="B251" s="5" t="str">
        <x:v>development</x:v>
      </x:c>
      <x:c r="C251" s="5" t="str">
        <x:v>D3_FIDELITY</x:v>
      </x:c>
      <x:c r="D251" s="5" t="str">
        <x:v>effects_correct_rate</x:v>
      </x:c>
      <x:c r="E251" s="5" t="n">
        <x:v>20</x:v>
      </x:c>
      <x:c r="F251" s="5" t="n">
        <x:v>21</x:v>
      </x:c>
      <x:c r="G251" s="10" t="n">
        <x:f>IF(COUNTBLANK(E251:F251)&gt;0,"N/A",IF(F251=0,"N/A",E251/F251))</x:f>
        <x:v>0.9523809523809523</x:v>
      </x:c>
      <x:c r="H251" s="5" t="str">
        <x:v>Silver</x:v>
      </x:c>
      <x:c r="I251" s="5" t="n">
        <x:v>28</x:v>
      </x:c>
      <x:c r="J251" s="5" t="n">
        <x:v>7</x:v>
      </x:c>
      <x:c r="K251" s="5" t="str">
        <x:v>rate</x:v>
      </x:c>
      <x:c r="L251" s="5" t="str">
        <x:v>Correct / {Correct,Partially Correct,Incorrect}; insufficient and uncertain excluded; same-model Silver</x:v>
      </x:c>
    </x:row>
    <x:row r="252" ht="20" hidden="0" customHeight="1">
      <x:c r="A252" s="5" t="str">
        <x:v>paired_ablation</x:v>
      </x:c>
      <x:c r="B252" s="5" t="str">
        <x:v>development</x:v>
      </x:c>
      <x:c r="C252" s="5" t="str">
        <x:v>D3_FIDELITY</x:v>
      </x:c>
      <x:c r="D252" s="5" t="str">
        <x:v>effects_partially_correct_rate</x:v>
      </x:c>
      <x:c r="E252" s="5" t="n">
        <x:v>1</x:v>
      </x:c>
      <x:c r="F252" s="5" t="n">
        <x:v>21</x:v>
      </x:c>
      <x:c r="G252" s="10" t="n">
        <x:f>IF(COUNTBLANK(E252:F252)&gt;0,"N/A",IF(F252=0,"N/A",E252/F252))</x:f>
        <x:v>0.047619047619047616</x:v>
      </x:c>
      <x:c r="H252" s="5" t="str">
        <x:v>Silver</x:v>
      </x:c>
      <x:c r="I252" s="5" t="n">
        <x:v>28</x:v>
      </x:c>
      <x:c r="J252" s="5" t="n">
        <x:v>7</x:v>
      </x:c>
      <x:c r="K252" s="5" t="str">
        <x:v>rate</x:v>
      </x:c>
      <x:c r="L252" s="5" t="str"/>
    </x:row>
    <x:row r="253" ht="20" hidden="0" customHeight="1">
      <x:c r="A253" s="5" t="str">
        <x:v>paired_ablation</x:v>
      </x:c>
      <x:c r="B253" s="5" t="str">
        <x:v>development</x:v>
      </x:c>
      <x:c r="C253" s="5" t="str">
        <x:v>D3_FIDELITY</x:v>
      </x:c>
      <x:c r="D253" s="5" t="str">
        <x:v>multiple_contributions_correct_rate</x:v>
      </x:c>
      <x:c r="E253" s="5" t="n">
        <x:v>25</x:v>
      </x:c>
      <x:c r="F253" s="5" t="n">
        <x:v>26</x:v>
      </x:c>
      <x:c r="G253" s="10" t="n">
        <x:f>IF(COUNTBLANK(E253:F253)&gt;0,"N/A",IF(F253=0,"N/A",E253/F253))</x:f>
        <x:v>0.9615384615384616</x:v>
      </x:c>
      <x:c r="H253" s="5" t="str">
        <x:v>Silver</x:v>
      </x:c>
      <x:c r="I253" s="5" t="n">
        <x:v>28</x:v>
      </x:c>
      <x:c r="J253" s="5" t="n">
        <x:v>2</x:v>
      </x:c>
      <x:c r="K253" s="5" t="str">
        <x:v>rate</x:v>
      </x:c>
      <x:c r="L253" s="5" t="str">
        <x:v>Correct / {Correct,Partially Correct,Incorrect}; insufficient and uncertain excluded; same-model Silver</x:v>
      </x:c>
    </x:row>
    <x:row r="254" ht="20" hidden="0" customHeight="1">
      <x:c r="A254" s="5" t="str">
        <x:v>paired_ablation</x:v>
      </x:c>
      <x:c r="B254" s="5" t="str">
        <x:v>development</x:v>
      </x:c>
      <x:c r="C254" s="5" t="str">
        <x:v>D3_FIDELITY</x:v>
      </x:c>
      <x:c r="D254" s="5" t="str">
        <x:v>multiple_contributions_partially_correct_rate</x:v>
      </x:c>
      <x:c r="E254" s="5" t="n">
        <x:v>1</x:v>
      </x:c>
      <x:c r="F254" s="5" t="n">
        <x:v>26</x:v>
      </x:c>
      <x:c r="G254" s="10" t="n">
        <x:f>IF(COUNTBLANK(E254:F254)&gt;0,"N/A",IF(F254=0,"N/A",E254/F254))</x:f>
        <x:v>0.038461538461538464</x:v>
      </x:c>
      <x:c r="H254" s="5" t="str">
        <x:v>Silver</x:v>
      </x:c>
      <x:c r="I254" s="5" t="n">
        <x:v>28</x:v>
      </x:c>
      <x:c r="J254" s="5" t="n">
        <x:v>2</x:v>
      </x:c>
      <x:c r="K254" s="5" t="str">
        <x:v>rate</x:v>
      </x:c>
      <x:c r="L254" s="5" t="str"/>
    </x:row>
    <x:row r="255" ht="20" hidden="0" customHeight="1">
      <x:c r="A255" s="5" t="str">
        <x:v>paired_ablation</x:v>
      </x:c>
      <x:c r="B255" s="5" t="str">
        <x:v>development</x:v>
      </x:c>
      <x:c r="C255" s="5" t="str">
        <x:v>D3_FIDELITY</x:v>
      </x:c>
      <x:c r="D255" s="5" t="str">
        <x:v>hallucination_correct_rate</x:v>
      </x:c>
      <x:c r="E255" s="5" t="n">
        <x:v>28</x:v>
      </x:c>
      <x:c r="F255" s="5" t="n">
        <x:v>28</x:v>
      </x:c>
      <x:c r="G255" s="10" t="n">
        <x:f>IF(COUNTBLANK(E255:F255)&gt;0,"N/A",IF(F255=0,"N/A",E255/F255))</x:f>
        <x:v>1</x:v>
      </x:c>
      <x:c r="H255" s="5" t="str">
        <x:v>Silver</x:v>
      </x:c>
      <x:c r="I255" s="5" t="n">
        <x:v>28</x:v>
      </x:c>
      <x:c r="J255" s="5" t="n">
        <x:v>0</x:v>
      </x:c>
      <x:c r="K255" s="5" t="str">
        <x:v>rate</x:v>
      </x:c>
      <x:c r="L255" s="5" t="str">
        <x:v>Correct / {Correct,Partially Correct,Incorrect}; insufficient and uncertain excluded; same-model Silver</x:v>
      </x:c>
    </x:row>
    <x:row r="256" ht="20" hidden="0" customHeight="1">
      <x:c r="A256" s="5" t="str">
        <x:v>paired_ablation</x:v>
      </x:c>
      <x:c r="B256" s="5" t="str">
        <x:v>development</x:v>
      </x:c>
      <x:c r="C256" s="5" t="str">
        <x:v>D3_FIDELITY</x:v>
      </x:c>
      <x:c r="D256" s="5" t="str">
        <x:v>hallucination_partially_correct_rate</x:v>
      </x:c>
      <x:c r="E256" s="5" t="n">
        <x:v>0</x:v>
      </x:c>
      <x:c r="F256" s="5" t="n">
        <x:v>28</x:v>
      </x:c>
      <x:c r="G256" s="10" t="n">
        <x:f>IF(COUNTBLANK(E256:F256)&gt;0,"N/A",IF(F256=0,"N/A",E256/F256))</x:f>
        <x:v>0</x:v>
      </x:c>
      <x:c r="H256" s="5" t="str">
        <x:v>Silver</x:v>
      </x:c>
      <x:c r="I256" s="5" t="n">
        <x:v>28</x:v>
      </x:c>
      <x:c r="J256" s="5" t="n">
        <x:v>0</x:v>
      </x:c>
      <x:c r="K256" s="5" t="str">
        <x:v>rate</x:v>
      </x:c>
      <x:c r="L256" s="5" t="str"/>
    </x:row>
    <x:row r="257" ht="31" hidden="0" customHeight="1">
      <x:c r="A257" s="5" t="str">
        <x:v>paired_ablation</x:v>
      </x:c>
      <x:c r="B257" s="5" t="str">
        <x:v>development</x:v>
      </x:c>
      <x:c r="C257" s="5" t="str">
        <x:v>D3_FIDELITY</x:v>
      </x:c>
      <x:c r="D257" s="5" t="str">
        <x:v>contribution_coverage</x:v>
      </x:c>
      <x:c r="E257" s="5" t="n">
        <x:v>32</x:v>
      </x:c>
      <x:c r="F257" s="5" t="n">
        <x:v>32</x:v>
      </x:c>
      <x:c r="G257" s="10" t="n">
        <x:f>IF(COUNTBLANK(E257:F257)&gt;0,"N/A",IF(F257=0,"N/A",E257/F257))</x:f>
        <x:v>1</x:v>
      </x:c>
      <x:c r="H257" s="5" t="str">
        <x:v>Silver</x:v>
      </x:c>
      <x:c r="I257" s="5" t="n">
        <x:v>28</x:v>
      </x:c>
      <x:c r="J257" s="5" t="n">
        <x:v>3</x:v>
      </x:c>
      <x:c r="K257" s="5" t="str">
        <x:v>rate</x:v>
      </x:c>
      <x:c r="L257" s="5" t="str">
        <x:v>Source-reference denominators required consistent across matched configs; disagreements/zero applicability excluded</x:v>
      </x:c>
    </x:row>
    <x:row r="258" ht="31" hidden="0" customHeight="1">
      <x:c r="A258" s="5" t="str">
        <x:v>paired_ablation</x:v>
      </x:c>
      <x:c r="B258" s="5" t="str">
        <x:v>development</x:v>
      </x:c>
      <x:c r="C258" s="5" t="str">
        <x:v>D3_FIDELITY</x:v>
      </x:c>
      <x:c r="D258" s="5" t="str">
        <x:v>material_retention</x:v>
      </x:c>
      <x:c r="E258" s="5" t="n">
        <x:v>44</x:v>
      </x:c>
      <x:c r="F258" s="5" t="n">
        <x:v>45</x:v>
      </x:c>
      <x:c r="G258" s="10" t="n">
        <x:f>IF(COUNTBLANK(E258:F258)&gt;0,"N/A",IF(F258=0,"N/A",E258/F258))</x:f>
        <x:v>0.9777777777777777</x:v>
      </x:c>
      <x:c r="H258" s="5" t="str">
        <x:v>Silver</x:v>
      </x:c>
      <x:c r="I258" s="5" t="n">
        <x:v>28</x:v>
      </x:c>
      <x:c r="J258" s="5" t="n">
        <x:v>8</x:v>
      </x:c>
      <x:c r="K258" s="5" t="str">
        <x:v>rate</x:v>
      </x:c>
      <x:c r="L258" s="5" t="str">
        <x:v>Source-reference denominators required consistent across matched configs; disagreements/zero applicability excluded</x:v>
      </x:c>
    </x:row>
    <x:row r="259" ht="31" hidden="0" customHeight="1">
      <x:c r="A259" s="5" t="str">
        <x:v>paired_ablation</x:v>
      </x:c>
      <x:c r="B259" s="5" t="str">
        <x:v>development</x:v>
      </x:c>
      <x:c r="C259" s="5" t="str">
        <x:v>D3_FIDELITY</x:v>
      </x:c>
      <x:c r="D259" s="5" t="str">
        <x:v>process_retention</x:v>
      </x:c>
      <x:c r="E259" s="5" t="n">
        <x:v>37</x:v>
      </x:c>
      <x:c r="F259" s="5" t="n">
        <x:v>37</x:v>
      </x:c>
      <x:c r="G259" s="10" t="n">
        <x:f>IF(COUNTBLANK(E259:F259)&gt;0,"N/A",IF(F259=0,"N/A",E259/F259))</x:f>
        <x:v>1</x:v>
      </x:c>
      <x:c r="H259" s="5" t="str">
        <x:v>Silver</x:v>
      </x:c>
      <x:c r="I259" s="5" t="n">
        <x:v>28</x:v>
      </x:c>
      <x:c r="J259" s="5" t="n">
        <x:v>12</x:v>
      </x:c>
      <x:c r="K259" s="5" t="str">
        <x:v>rate</x:v>
      </x:c>
      <x:c r="L259" s="5" t="str">
        <x:v>Source-reference denominators required consistent across matched configs; disagreements/zero applicability excluded</x:v>
      </x:c>
    </x:row>
    <x:row r="260" ht="20" hidden="0" customHeight="1">
      <x:c r="A260" s="5" t="str">
        <x:v>paired_ablation</x:v>
      </x:c>
      <x:c r="B260" s="5" t="str">
        <x:v>development</x:v>
      </x:c>
      <x:c r="C260" s="5" t="str">
        <x:v>D3_FIDELITY</x:v>
      </x:c>
      <x:c r="D260" s="5" t="str">
        <x:v>multi_contribution_omission_rate</x:v>
      </x:c>
      <x:c r="E260" s="5" t="n">
        <x:v>0</x:v>
      </x:c>
      <x:c r="F260" s="5" t="n">
        <x:v>3</x:v>
      </x:c>
      <x:c r="G260" s="10" t="n">
        <x:f>IF(COUNTBLANK(E260:F260)&gt;0,"N/A",IF(F260=0,"N/A",E260/F260))</x:f>
        <x:v>0</x:v>
      </x:c>
      <x:c r="H260" s="5" t="str">
        <x:v>Silver</x:v>
      </x:c>
      <x:c r="I260" s="5" t="n">
        <x:v>28</x:v>
      </x:c>
      <x:c r="J260" s="5" t="n">
        <x:v>25</x:v>
      </x:c>
      <x:c r="K260" s="5" t="str">
        <x:v>rate</x:v>
      </x:c>
      <x:c r="L260" s="5" t="str"/>
    </x:row>
    <x:row r="261" ht="20" hidden="0" customHeight="1">
      <x:c r="A261" s="5" t="str">
        <x:v>paired_ablation</x:v>
      </x:c>
      <x:c r="B261" s="5" t="str">
        <x:v>development</x:v>
      </x:c>
      <x:c r="C261" s="5" t="str">
        <x:v>D3_FIDELITY</x:v>
      </x:c>
      <x:c r="D261" s="5" t="str">
        <x:v>full_conclusion_support_rate</x:v>
      </x:c>
      <x:c r="E261" s="5" t="n">
        <x:v>25</x:v>
      </x:c>
      <x:c r="F261" s="5" t="n">
        <x:v>25</x:v>
      </x:c>
      <x:c r="G261" s="10" t="n">
        <x:f>IF(COUNTBLANK(E261:F261)&gt;0,"N/A",IF(F261=0,"N/A",E261/F261))</x:f>
        <x:v>1</x:v>
      </x:c>
      <x:c r="H261" s="5" t="str">
        <x:v>Silver</x:v>
      </x:c>
      <x:c r="I261" s="5" t="n">
        <x:v>28</x:v>
      </x:c>
      <x:c r="J261" s="5" t="n">
        <x:v>3</x:v>
      </x:c>
      <x:c r="K261" s="5" t="str">
        <x:v>rate</x:v>
      </x:c>
      <x:c r="L261" s="5" t="str"/>
    </x:row>
    <x:row r="262" ht="20" hidden="0" customHeight="1">
      <x:c r="A262" s="5" t="str">
        <x:v>paired_ablation</x:v>
      </x:c>
      <x:c r="B262" s="5" t="str">
        <x:v>development</x:v>
      </x:c>
      <x:c r="C262" s="5" t="str">
        <x:v>D3_FIDELITY</x:v>
      </x:c>
      <x:c r="D262" s="5" t="str">
        <x:v>mean_contributions_per_family</x:v>
      </x:c>
      <x:c r="E262" s="5" t="n">
        <x:v>32</x:v>
      </x:c>
      <x:c r="F262" s="5" t="n">
        <x:v>28</x:v>
      </x:c>
      <x:c r="G262" s="11" t="n">
        <x:f>IF(COUNTBLANK(E262:F262)&gt;0,"N/A",IF(F262=0,"N/A",E262/F262))</x:f>
        <x:v>1.1428571428571428</x:v>
      </x:c>
      <x:c r="H262" s="5" t="str">
        <x:v>Silver</x:v>
      </x:c>
      <x:c r="I262" s="5" t="n">
        <x:v>28</x:v>
      </x:c>
      <x:c r="J262" s="5" t="n">
        <x:v>0</x:v>
      </x:c>
      <x:c r="K262" s="5" t="str">
        <x:v>contributions/family</x:v>
      </x:c>
      <x:c r="L262" s="5" t="str"/>
    </x:row>
    <x:row r="263" ht="20" hidden="0" customHeight="1">
      <x:c r="A263" s="5" t="str">
        <x:v>paired_ablation</x:v>
      </x:c>
      <x:c r="B263" s="5" t="str">
        <x:v>development</x:v>
      </x:c>
      <x:c r="C263" s="5" t="str">
        <x:v>D3_FIDELITY</x:v>
      </x:c>
      <x:c r="D263" s="5" t="str">
        <x:v>oversplit_contribution_rate</x:v>
      </x:c>
      <x:c r="E263" s="5" t="n">
        <x:v>2</x:v>
      </x:c>
      <x:c r="F263" s="5" t="n">
        <x:v>32</x:v>
      </x:c>
      <x:c r="G263" s="10" t="n">
        <x:f>IF(COUNTBLANK(E263:F263)&gt;0,"N/A",IF(F263=0,"N/A",E263/F263))</x:f>
        <x:v>0.0625</x:v>
      </x:c>
      <x:c r="H263" s="5" t="str">
        <x:v>Silver</x:v>
      </x:c>
      <x:c r="I263" s="5" t="n">
        <x:v>28</x:v>
      </x:c>
      <x:c r="J263" s="5" t="n">
        <x:v>0</x:v>
      </x:c>
      <x:c r="K263" s="5" t="str">
        <x:v>rate</x:v>
      </x:c>
      <x:c r="L263" s="5" t="str">
        <x:v>Auditor oversplit units / actual explicit output units; not a human error rate</x:v>
      </x:c>
    </x:row>
    <x:row r="264" ht="20" hidden="0" customHeight="1">
      <x:c r="A264" s="5" t="str">
        <x:v>paired_ablation</x:v>
      </x:c>
      <x:c r="B264" s="5" t="str">
        <x:v>development</x:v>
      </x:c>
      <x:c r="C264" s="5" t="str">
        <x:v>D3_FIDELITY</x:v>
      </x:c>
      <x:c r="D264" s="5" t="str">
        <x:v>hallucinated_contribution_rate</x:v>
      </x:c>
      <x:c r="E264" s="5" t="n">
        <x:v>0</x:v>
      </x:c>
      <x:c r="F264" s="5" t="n">
        <x:v>32</x:v>
      </x:c>
      <x:c r="G264" s="10" t="n">
        <x:f>IF(COUNTBLANK(E264:F264)&gt;0,"N/A",IF(F264=0,"N/A",E264/F264))</x:f>
        <x:v>0</x:v>
      </x:c>
      <x:c r="H264" s="5" t="str">
        <x:v>Silver</x:v>
      </x:c>
      <x:c r="I264" s="5" t="n">
        <x:v>28</x:v>
      </x:c>
      <x:c r="J264" s="5" t="n">
        <x:v>0</x:v>
      </x:c>
      <x:c r="K264" s="5" t="str">
        <x:v>rate</x:v>
      </x:c>
      <x:c r="L264" s="5" t="str"/>
    </x:row>
    <x:row r="265" ht="20" hidden="0" customHeight="1">
      <x:c r="A265" s="5" t="str">
        <x:v>paired_ablation</x:v>
      </x:c>
      <x:c r="B265" s="5" t="str">
        <x:v>development</x:v>
      </x:c>
      <x:c r="C265" s="5" t="str">
        <x:v>D3_FIDELITY</x:v>
      </x:c>
      <x:c r="D265" s="5" t="str">
        <x:v>technical_mechanism_gold_accuracy</x:v>
      </x:c>
      <x:c r="E265" s="5"/>
      <x:c r="F265" s="5"/>
      <x:c r="G265" s="10" t="str">
        <x:f>IF(COUNTBLANK(E265:F265)&gt;0,"N/A",IF(F265=0,"N/A",E265/F265))</x:f>
        <x:v>N/A</x:v>
      </x:c>
      <x:c r="H265" s="5" t="str">
        <x:v>Gold</x:v>
      </x:c>
      <x:c r="I265" s="5" t="n">
        <x:v>0</x:v>
      </x:c>
      <x:c r="J265" s="5" t="n">
        <x:v>0</x:v>
      </x:c>
      <x:c r="K265" s="5" t="str">
        <x:v>rate</x:v>
      </x:c>
      <x:c r="L265" s="5" t="str">
        <x:v>N/A: zero independent human Gold labels; AI must not be promoted to human truth</x:v>
      </x:c>
    </x:row>
    <x:row r="266" ht="20" hidden="0" customHeight="1">
      <x:c r="A266" s="5" t="str">
        <x:v>paired_ablation</x:v>
      </x:c>
      <x:c r="B266" s="5" t="str">
        <x:v>development</x:v>
      </x:c>
      <x:c r="C266" s="5" t="str">
        <x:v>D3_FIDELITY</x:v>
      </x:c>
      <x:c r="D266" s="5" t="str">
        <x:v>materials_gold_accuracy</x:v>
      </x:c>
      <x:c r="E266" s="5"/>
      <x:c r="F266" s="5"/>
      <x:c r="G266" s="10" t="str">
        <x:f>IF(COUNTBLANK(E266:F266)&gt;0,"N/A",IF(F266=0,"N/A",E266/F266))</x:f>
        <x:v>N/A</x:v>
      </x:c>
      <x:c r="H266" s="5" t="str">
        <x:v>Gold</x:v>
      </x:c>
      <x:c r="I266" s="5" t="n">
        <x:v>0</x:v>
      </x:c>
      <x:c r="J266" s="5" t="n">
        <x:v>0</x:v>
      </x:c>
      <x:c r="K266" s="5" t="str">
        <x:v>rate</x:v>
      </x:c>
      <x:c r="L266" s="5" t="str">
        <x:v>N/A: zero independent human Gold labels; AI must not be promoted to human truth</x:v>
      </x:c>
    </x:row>
    <x:row r="267" ht="20" hidden="0" customHeight="1">
      <x:c r="A267" s="5" t="str">
        <x:v>paired_ablation</x:v>
      </x:c>
      <x:c r="B267" s="5" t="str">
        <x:v>development</x:v>
      </x:c>
      <x:c r="C267" s="5" t="str">
        <x:v>D3_FIDELITY</x:v>
      </x:c>
      <x:c r="D267" s="5" t="str">
        <x:v>process_method_gold_accuracy</x:v>
      </x:c>
      <x:c r="E267" s="5"/>
      <x:c r="F267" s="5"/>
      <x:c r="G267" s="10" t="str">
        <x:f>IF(COUNTBLANK(E267:F267)&gt;0,"N/A",IF(F267=0,"N/A",E267/F267))</x:f>
        <x:v>N/A</x:v>
      </x:c>
      <x:c r="H267" s="5" t="str">
        <x:v>Gold</x:v>
      </x:c>
      <x:c r="I267" s="5" t="n">
        <x:v>0</x:v>
      </x:c>
      <x:c r="J267" s="5" t="n">
        <x:v>0</x:v>
      </x:c>
      <x:c r="K267" s="5" t="str">
        <x:v>rate</x:v>
      </x:c>
      <x:c r="L267" s="5" t="str">
        <x:v>N/A: zero independent human Gold labels; AI must not be promoted to human truth</x:v>
      </x:c>
    </x:row>
    <x:row r="268" ht="20" hidden="0" customHeight="1">
      <x:c r="A268" s="5" t="str">
        <x:v>paired_ablation</x:v>
      </x:c>
      <x:c r="B268" s="5" t="str">
        <x:v>development</x:v>
      </x:c>
      <x:c r="C268" s="5" t="str">
        <x:v>D3_FIDELITY</x:v>
      </x:c>
      <x:c r="D268" s="5" t="str">
        <x:v>parameters_gold_accuracy</x:v>
      </x:c>
      <x:c r="E268" s="5"/>
      <x:c r="F268" s="5"/>
      <x:c r="G268" s="10" t="str">
        <x:f>IF(COUNTBLANK(E268:F268)&gt;0,"N/A",IF(F268=0,"N/A",E268/F268))</x:f>
        <x:v>N/A</x:v>
      </x:c>
      <x:c r="H268" s="5" t="str">
        <x:v>Gold</x:v>
      </x:c>
      <x:c r="I268" s="5" t="n">
        <x:v>0</x:v>
      </x:c>
      <x:c r="J268" s="5" t="n">
        <x:v>0</x:v>
      </x:c>
      <x:c r="K268" s="5" t="str">
        <x:v>rate</x:v>
      </x:c>
      <x:c r="L268" s="5" t="str">
        <x:v>N/A: zero independent human Gold labels; AI must not be promoted to human truth</x:v>
      </x:c>
    </x:row>
    <x:row r="269" ht="20" hidden="0" customHeight="1">
      <x:c r="A269" s="5" t="str">
        <x:v>paired_ablation</x:v>
      </x:c>
      <x:c r="B269" s="5" t="str">
        <x:v>development</x:v>
      </x:c>
      <x:c r="C269" s="5" t="str">
        <x:v>D3_FIDELITY</x:v>
      </x:c>
      <x:c r="D269" s="5" t="str">
        <x:v>multiple_contributions_gold_accuracy</x:v>
      </x:c>
      <x:c r="E269" s="5"/>
      <x:c r="F269" s="5"/>
      <x:c r="G269" s="10" t="str">
        <x:f>IF(COUNTBLANK(E269:F269)&gt;0,"N/A",IF(F269=0,"N/A",E269/F269))</x:f>
        <x:v>N/A</x:v>
      </x:c>
      <x:c r="H269" s="5" t="str">
        <x:v>Gold</x:v>
      </x:c>
      <x:c r="I269" s="5" t="n">
        <x:v>0</x:v>
      </x:c>
      <x:c r="J269" s="5" t="n">
        <x:v>0</x:v>
      </x:c>
      <x:c r="K269" s="5" t="str">
        <x:v>rate</x:v>
      </x:c>
      <x:c r="L269" s="5" t="str">
        <x:v>N/A: zero independent human Gold labels; AI must not be promoted to human truth</x:v>
      </x:c>
    </x:row>
    <x:row r="270" ht="20" hidden="0" customHeight="1">
      <x:c r="A270" s="5" t="str">
        <x:v>paired_ablation</x:v>
      </x:c>
      <x:c r="B270" s="5" t="str">
        <x:v>development</x:v>
      </x:c>
      <x:c r="C270" s="5" t="str">
        <x:v>D3_EVIDENCE</x:v>
      </x:c>
      <x:c r="D270" s="5" t="str">
        <x:v>technical_object_correct_rate</x:v>
      </x:c>
      <x:c r="E270" s="5" t="n">
        <x:v>27</x:v>
      </x:c>
      <x:c r="F270" s="5" t="n">
        <x:v>27</x:v>
      </x:c>
      <x:c r="G270" s="10" t="n">
        <x:f>IF(COUNTBLANK(E270:F270)&gt;0,"N/A",IF(F270=0,"N/A",E270/F270))</x:f>
        <x:v>1</x:v>
      </x:c>
      <x:c r="H270" s="5" t="str">
        <x:v>Silver</x:v>
      </x:c>
      <x:c r="I270" s="5" t="n">
        <x:v>28</x:v>
      </x:c>
      <x:c r="J270" s="5" t="n">
        <x:v>1</x:v>
      </x:c>
      <x:c r="K270" s="5" t="str">
        <x:v>rate</x:v>
      </x:c>
      <x:c r="L270" s="5" t="str">
        <x:v>Correct / {Correct,Partially Correct,Incorrect}; insufficient and uncertain excluded; same-model Silver</x:v>
      </x:c>
    </x:row>
    <x:row r="271" ht="20" hidden="0" customHeight="1">
      <x:c r="A271" s="5" t="str">
        <x:v>paired_ablation</x:v>
      </x:c>
      <x:c r="B271" s="5" t="str">
        <x:v>development</x:v>
      </x:c>
      <x:c r="C271" s="5" t="str">
        <x:v>D3_EVIDENCE</x:v>
      </x:c>
      <x:c r="D271" s="5" t="str">
        <x:v>technical_object_partially_correct_rate</x:v>
      </x:c>
      <x:c r="E271" s="5" t="n">
        <x:v>0</x:v>
      </x:c>
      <x:c r="F271" s="5" t="n">
        <x:v>27</x:v>
      </x:c>
      <x:c r="G271" s="10" t="n">
        <x:f>IF(COUNTBLANK(E271:F271)&gt;0,"N/A",IF(F271=0,"N/A",E271/F271))</x:f>
        <x:v>0</x:v>
      </x:c>
      <x:c r="H271" s="5" t="str">
        <x:v>Silver</x:v>
      </x:c>
      <x:c r="I271" s="5" t="n">
        <x:v>28</x:v>
      </x:c>
      <x:c r="J271" s="5" t="n">
        <x:v>1</x:v>
      </x:c>
      <x:c r="K271" s="5" t="str">
        <x:v>rate</x:v>
      </x:c>
      <x:c r="L271" s="5" t="str"/>
    </x:row>
    <x:row r="272" ht="20" hidden="0" customHeight="1">
      <x:c r="A272" s="5" t="str">
        <x:v>paired_ablation</x:v>
      </x:c>
      <x:c r="B272" s="5" t="str">
        <x:v>development</x:v>
      </x:c>
      <x:c r="C272" s="5" t="str">
        <x:v>D3_EVIDENCE</x:v>
      </x:c>
      <x:c r="D272" s="5" t="str">
        <x:v>technical_problem_correct_rate</x:v>
      </x:c>
      <x:c r="E272" s="5" t="n">
        <x:v>20</x:v>
      </x:c>
      <x:c r="F272" s="5" t="n">
        <x:v>20</x:v>
      </x:c>
      <x:c r="G272" s="10" t="n">
        <x:f>IF(COUNTBLANK(E272:F272)&gt;0,"N/A",IF(F272=0,"N/A",E272/F272))</x:f>
        <x:v>1</x:v>
      </x:c>
      <x:c r="H272" s="5" t="str">
        <x:v>Silver</x:v>
      </x:c>
      <x:c r="I272" s="5" t="n">
        <x:v>28</x:v>
      </x:c>
      <x:c r="J272" s="5" t="n">
        <x:v>8</x:v>
      </x:c>
      <x:c r="K272" s="5" t="str">
        <x:v>rate</x:v>
      </x:c>
      <x:c r="L272" s="5" t="str">
        <x:v>Correct / {Correct,Partially Correct,Incorrect}; insufficient and uncertain excluded; same-model Silver</x:v>
      </x:c>
    </x:row>
    <x:row r="273" ht="20" hidden="0" customHeight="1">
      <x:c r="A273" s="5" t="str">
        <x:v>paired_ablation</x:v>
      </x:c>
      <x:c r="B273" s="5" t="str">
        <x:v>development</x:v>
      </x:c>
      <x:c r="C273" s="5" t="str">
        <x:v>D3_EVIDENCE</x:v>
      </x:c>
      <x:c r="D273" s="5" t="str">
        <x:v>technical_problem_partially_correct_rate</x:v>
      </x:c>
      <x:c r="E273" s="5" t="n">
        <x:v>0</x:v>
      </x:c>
      <x:c r="F273" s="5" t="n">
        <x:v>20</x:v>
      </x:c>
      <x:c r="G273" s="10" t="n">
        <x:f>IF(COUNTBLANK(E273:F273)&gt;0,"N/A",IF(F273=0,"N/A",E273/F273))</x:f>
        <x:v>0</x:v>
      </x:c>
      <x:c r="H273" s="5" t="str">
        <x:v>Silver</x:v>
      </x:c>
      <x:c r="I273" s="5" t="n">
        <x:v>28</x:v>
      </x:c>
      <x:c r="J273" s="5" t="n">
        <x:v>8</x:v>
      </x:c>
      <x:c r="K273" s="5" t="str">
        <x:v>rate</x:v>
      </x:c>
      <x:c r="L273" s="5" t="str"/>
    </x:row>
    <x:row r="274" ht="20" hidden="0" customHeight="1">
      <x:c r="A274" s="5" t="str">
        <x:v>paired_ablation</x:v>
      </x:c>
      <x:c r="B274" s="5" t="str">
        <x:v>development</x:v>
      </x:c>
      <x:c r="C274" s="5" t="str">
        <x:v>D3_EVIDENCE</x:v>
      </x:c>
      <x:c r="D274" s="5" t="str">
        <x:v>technical_mechanism_correct_rate</x:v>
      </x:c>
      <x:c r="E274" s="5" t="n">
        <x:v>25</x:v>
      </x:c>
      <x:c r="F274" s="5" t="n">
        <x:v>25</x:v>
      </x:c>
      <x:c r="G274" s="10" t="n">
        <x:f>IF(COUNTBLANK(E274:F274)&gt;0,"N/A",IF(F274=0,"N/A",E274/F274))</x:f>
        <x:v>1</x:v>
      </x:c>
      <x:c r="H274" s="5" t="str">
        <x:v>Silver</x:v>
      </x:c>
      <x:c r="I274" s="5" t="n">
        <x:v>28</x:v>
      </x:c>
      <x:c r="J274" s="5" t="n">
        <x:v>3</x:v>
      </x:c>
      <x:c r="K274" s="5" t="str">
        <x:v>rate</x:v>
      </x:c>
      <x:c r="L274" s="5" t="str">
        <x:v>Correct / {Correct,Partially Correct,Incorrect}; insufficient and uncertain excluded; same-model Silver</x:v>
      </x:c>
    </x:row>
    <x:row r="275" ht="20" hidden="0" customHeight="1">
      <x:c r="A275" s="5" t="str">
        <x:v>paired_ablation</x:v>
      </x:c>
      <x:c r="B275" s="5" t="str">
        <x:v>development</x:v>
      </x:c>
      <x:c r="C275" s="5" t="str">
        <x:v>D3_EVIDENCE</x:v>
      </x:c>
      <x:c r="D275" s="5" t="str">
        <x:v>technical_mechanism_partially_correct_rate</x:v>
      </x:c>
      <x:c r="E275" s="5" t="n">
        <x:v>0</x:v>
      </x:c>
      <x:c r="F275" s="5" t="n">
        <x:v>25</x:v>
      </x:c>
      <x:c r="G275" s="10" t="n">
        <x:f>IF(COUNTBLANK(E275:F275)&gt;0,"N/A",IF(F275=0,"N/A",E275/F275))</x:f>
        <x:v>0</x:v>
      </x:c>
      <x:c r="H275" s="5" t="str">
        <x:v>Silver</x:v>
      </x:c>
      <x:c r="I275" s="5" t="n">
        <x:v>28</x:v>
      </x:c>
      <x:c r="J275" s="5" t="n">
        <x:v>3</x:v>
      </x:c>
      <x:c r="K275" s="5" t="str">
        <x:v>rate</x:v>
      </x:c>
      <x:c r="L275" s="5" t="str"/>
    </x:row>
    <x:row r="276" ht="20" hidden="0" customHeight="1">
      <x:c r="A276" s="5" t="str">
        <x:v>paired_ablation</x:v>
      </x:c>
      <x:c r="B276" s="5" t="str">
        <x:v>development</x:v>
      </x:c>
      <x:c r="C276" s="5" t="str">
        <x:v>D3_EVIDENCE</x:v>
      </x:c>
      <x:c r="D276" s="5" t="str">
        <x:v>materials_correct_rate</x:v>
      </x:c>
      <x:c r="E276" s="5" t="n">
        <x:v>16</x:v>
      </x:c>
      <x:c r="F276" s="5" t="n">
        <x:v>22</x:v>
      </x:c>
      <x:c r="G276" s="10" t="n">
        <x:f>IF(COUNTBLANK(E276:F276)&gt;0,"N/A",IF(F276=0,"N/A",E276/F276))</x:f>
        <x:v>0.7272727272727273</x:v>
      </x:c>
      <x:c r="H276" s="5" t="str">
        <x:v>Silver</x:v>
      </x:c>
      <x:c r="I276" s="5" t="n">
        <x:v>28</x:v>
      </x:c>
      <x:c r="J276" s="5" t="n">
        <x:v>6</x:v>
      </x:c>
      <x:c r="K276" s="5" t="str">
        <x:v>rate</x:v>
      </x:c>
      <x:c r="L276" s="5" t="str">
        <x:v>Correct / {Correct,Partially Correct,Incorrect}; insufficient and uncertain excluded; same-model Silver</x:v>
      </x:c>
    </x:row>
    <x:row r="277" ht="20" hidden="0" customHeight="1">
      <x:c r="A277" s="5" t="str">
        <x:v>paired_ablation</x:v>
      </x:c>
      <x:c r="B277" s="5" t="str">
        <x:v>development</x:v>
      </x:c>
      <x:c r="C277" s="5" t="str">
        <x:v>D3_EVIDENCE</x:v>
      </x:c>
      <x:c r="D277" s="5" t="str">
        <x:v>materials_partially_correct_rate</x:v>
      </x:c>
      <x:c r="E277" s="5" t="n">
        <x:v>6</x:v>
      </x:c>
      <x:c r="F277" s="5" t="n">
        <x:v>22</x:v>
      </x:c>
      <x:c r="G277" s="10" t="n">
        <x:f>IF(COUNTBLANK(E277:F277)&gt;0,"N/A",IF(F277=0,"N/A",E277/F277))</x:f>
        <x:v>0.2727272727272727</x:v>
      </x:c>
      <x:c r="H277" s="5" t="str">
        <x:v>Silver</x:v>
      </x:c>
      <x:c r="I277" s="5" t="n">
        <x:v>28</x:v>
      </x:c>
      <x:c r="J277" s="5" t="n">
        <x:v>6</x:v>
      </x:c>
      <x:c r="K277" s="5" t="str">
        <x:v>rate</x:v>
      </x:c>
      <x:c r="L277" s="5" t="str"/>
    </x:row>
    <x:row r="278" ht="20" hidden="0" customHeight="1">
      <x:c r="A278" s="5" t="str">
        <x:v>paired_ablation</x:v>
      </x:c>
      <x:c r="B278" s="5" t="str">
        <x:v>development</x:v>
      </x:c>
      <x:c r="C278" s="5" t="str">
        <x:v>D3_EVIDENCE</x:v>
      </x:c>
      <x:c r="D278" s="5" t="str">
        <x:v>process_method_correct_rate</x:v>
      </x:c>
      <x:c r="E278" s="5" t="n">
        <x:v>12</x:v>
      </x:c>
      <x:c r="F278" s="5" t="n">
        <x:v>15</x:v>
      </x:c>
      <x:c r="G278" s="10" t="n">
        <x:f>IF(COUNTBLANK(E278:F278)&gt;0,"N/A",IF(F278=0,"N/A",E278/F278))</x:f>
        <x:v>0.8</x:v>
      </x:c>
      <x:c r="H278" s="5" t="str">
        <x:v>Silver</x:v>
      </x:c>
      <x:c r="I278" s="5" t="n">
        <x:v>28</x:v>
      </x:c>
      <x:c r="J278" s="5" t="n">
        <x:v>13</x:v>
      </x:c>
      <x:c r="K278" s="5" t="str">
        <x:v>rate</x:v>
      </x:c>
      <x:c r="L278" s="5" t="str">
        <x:v>Correct / {Correct,Partially Correct,Incorrect}; insufficient and uncertain excluded; same-model Silver</x:v>
      </x:c>
    </x:row>
    <x:row r="279" ht="20" hidden="0" customHeight="1">
      <x:c r="A279" s="5" t="str">
        <x:v>paired_ablation</x:v>
      </x:c>
      <x:c r="B279" s="5" t="str">
        <x:v>development</x:v>
      </x:c>
      <x:c r="C279" s="5" t="str">
        <x:v>D3_EVIDENCE</x:v>
      </x:c>
      <x:c r="D279" s="5" t="str">
        <x:v>process_method_partially_correct_rate</x:v>
      </x:c>
      <x:c r="E279" s="5" t="n">
        <x:v>3</x:v>
      </x:c>
      <x:c r="F279" s="5" t="n">
        <x:v>15</x:v>
      </x:c>
      <x:c r="G279" s="10" t="n">
        <x:f>IF(COUNTBLANK(E279:F279)&gt;0,"N/A",IF(F279=0,"N/A",E279/F279))</x:f>
        <x:v>0.2</x:v>
      </x:c>
      <x:c r="H279" s="5" t="str">
        <x:v>Silver</x:v>
      </x:c>
      <x:c r="I279" s="5" t="n">
        <x:v>28</x:v>
      </x:c>
      <x:c r="J279" s="5" t="n">
        <x:v>13</x:v>
      </x:c>
      <x:c r="K279" s="5" t="str">
        <x:v>rate</x:v>
      </x:c>
      <x:c r="L279" s="5" t="str"/>
    </x:row>
    <x:row r="280" ht="20" hidden="0" customHeight="1">
      <x:c r="A280" s="5" t="str">
        <x:v>paired_ablation</x:v>
      </x:c>
      <x:c r="B280" s="5" t="str">
        <x:v>development</x:v>
      </x:c>
      <x:c r="C280" s="5" t="str">
        <x:v>D3_EVIDENCE</x:v>
      </x:c>
      <x:c r="D280" s="5" t="str">
        <x:v>process_order_correct_rate</x:v>
      </x:c>
      <x:c r="E280" s="5" t="n">
        <x:v>5</x:v>
      </x:c>
      <x:c r="F280" s="5" t="n">
        <x:v>5</x:v>
      </x:c>
      <x:c r="G280" s="10" t="n">
        <x:f>IF(COUNTBLANK(E280:F280)&gt;0,"N/A",IF(F280=0,"N/A",E280/F280))</x:f>
        <x:v>1</x:v>
      </x:c>
      <x:c r="H280" s="5" t="str">
        <x:v>Silver</x:v>
      </x:c>
      <x:c r="I280" s="5" t="n">
        <x:v>28</x:v>
      </x:c>
      <x:c r="J280" s="5" t="n">
        <x:v>23</x:v>
      </x:c>
      <x:c r="K280" s="5" t="str">
        <x:v>rate</x:v>
      </x:c>
      <x:c r="L280" s="5" t="str">
        <x:v>Correct / {Correct,Partially Correct,Incorrect}; insufficient and uncertain excluded; same-model Silver</x:v>
      </x:c>
    </x:row>
    <x:row r="281" ht="20" hidden="0" customHeight="1">
      <x:c r="A281" s="5" t="str">
        <x:v>paired_ablation</x:v>
      </x:c>
      <x:c r="B281" s="5" t="str">
        <x:v>development</x:v>
      </x:c>
      <x:c r="C281" s="5" t="str">
        <x:v>D3_EVIDENCE</x:v>
      </x:c>
      <x:c r="D281" s="5" t="str">
        <x:v>process_order_partially_correct_rate</x:v>
      </x:c>
      <x:c r="E281" s="5" t="n">
        <x:v>0</x:v>
      </x:c>
      <x:c r="F281" s="5" t="n">
        <x:v>5</x:v>
      </x:c>
      <x:c r="G281" s="10" t="n">
        <x:f>IF(COUNTBLANK(E281:F281)&gt;0,"N/A",IF(F281=0,"N/A",E281/F281))</x:f>
        <x:v>0</x:v>
      </x:c>
      <x:c r="H281" s="5" t="str">
        <x:v>Silver</x:v>
      </x:c>
      <x:c r="I281" s="5" t="n">
        <x:v>28</x:v>
      </x:c>
      <x:c r="J281" s="5" t="n">
        <x:v>23</x:v>
      </x:c>
      <x:c r="K281" s="5" t="str">
        <x:v>rate</x:v>
      </x:c>
      <x:c r="L281" s="5" t="str"/>
    </x:row>
    <x:row r="282" ht="20" hidden="0" customHeight="1">
      <x:c r="A282" s="5" t="str">
        <x:v>paired_ablation</x:v>
      </x:c>
      <x:c r="B282" s="5" t="str">
        <x:v>development</x:v>
      </x:c>
      <x:c r="C282" s="5" t="str">
        <x:v>D3_EVIDENCE</x:v>
      </x:c>
      <x:c r="D282" s="5" t="str">
        <x:v>parameters_correct_rate</x:v>
      </x:c>
      <x:c r="E282" s="5" t="n">
        <x:v>13</x:v>
      </x:c>
      <x:c r="F282" s="5" t="n">
        <x:v>16</x:v>
      </x:c>
      <x:c r="G282" s="10" t="n">
        <x:f>IF(COUNTBLANK(E282:F282)&gt;0,"N/A",IF(F282=0,"N/A",E282/F282))</x:f>
        <x:v>0.8125</x:v>
      </x:c>
      <x:c r="H282" s="5" t="str">
        <x:v>Silver</x:v>
      </x:c>
      <x:c r="I282" s="5" t="n">
        <x:v>28</x:v>
      </x:c>
      <x:c r="J282" s="5" t="n">
        <x:v>12</x:v>
      </x:c>
      <x:c r="K282" s="5" t="str">
        <x:v>rate</x:v>
      </x:c>
      <x:c r="L282" s="5" t="str">
        <x:v>Correct / {Correct,Partially Correct,Incorrect}; insufficient and uncertain excluded; same-model Silver</x:v>
      </x:c>
    </x:row>
    <x:row r="283" ht="20" hidden="0" customHeight="1">
      <x:c r="A283" s="5" t="str">
        <x:v>paired_ablation</x:v>
      </x:c>
      <x:c r="B283" s="5" t="str">
        <x:v>development</x:v>
      </x:c>
      <x:c r="C283" s="5" t="str">
        <x:v>D3_EVIDENCE</x:v>
      </x:c>
      <x:c r="D283" s="5" t="str">
        <x:v>parameters_partially_correct_rate</x:v>
      </x:c>
      <x:c r="E283" s="5" t="n">
        <x:v>3</x:v>
      </x:c>
      <x:c r="F283" s="5" t="n">
        <x:v>16</x:v>
      </x:c>
      <x:c r="G283" s="10" t="n">
        <x:f>IF(COUNTBLANK(E283:F283)&gt;0,"N/A",IF(F283=0,"N/A",E283/F283))</x:f>
        <x:v>0.1875</x:v>
      </x:c>
      <x:c r="H283" s="5" t="str">
        <x:v>Silver</x:v>
      </x:c>
      <x:c r="I283" s="5" t="n">
        <x:v>28</x:v>
      </x:c>
      <x:c r="J283" s="5" t="n">
        <x:v>12</x:v>
      </x:c>
      <x:c r="K283" s="5" t="str">
        <x:v>rate</x:v>
      </x:c>
      <x:c r="L283" s="5" t="str"/>
    </x:row>
    <x:row r="284" ht="20" hidden="0" customHeight="1">
      <x:c r="A284" s="5" t="str">
        <x:v>paired_ablation</x:v>
      </x:c>
      <x:c r="B284" s="5" t="str">
        <x:v>development</x:v>
      </x:c>
      <x:c r="C284" s="5" t="str">
        <x:v>D3_EVIDENCE</x:v>
      </x:c>
      <x:c r="D284" s="5" t="str">
        <x:v>effects_correct_rate</x:v>
      </x:c>
      <x:c r="E284" s="5" t="n">
        <x:v>20</x:v>
      </x:c>
      <x:c r="F284" s="5" t="n">
        <x:v>21</x:v>
      </x:c>
      <x:c r="G284" s="10" t="n">
        <x:f>IF(COUNTBLANK(E284:F284)&gt;0,"N/A",IF(F284=0,"N/A",E284/F284))</x:f>
        <x:v>0.9523809523809523</x:v>
      </x:c>
      <x:c r="H284" s="5" t="str">
        <x:v>Silver</x:v>
      </x:c>
      <x:c r="I284" s="5" t="n">
        <x:v>28</x:v>
      </x:c>
      <x:c r="J284" s="5" t="n">
        <x:v>7</x:v>
      </x:c>
      <x:c r="K284" s="5" t="str">
        <x:v>rate</x:v>
      </x:c>
      <x:c r="L284" s="5" t="str">
        <x:v>Correct / {Correct,Partially Correct,Incorrect}; insufficient and uncertain excluded; same-model Silver</x:v>
      </x:c>
    </x:row>
    <x:row r="285" ht="20" hidden="0" customHeight="1">
      <x:c r="A285" s="5" t="str">
        <x:v>paired_ablation</x:v>
      </x:c>
      <x:c r="B285" s="5" t="str">
        <x:v>development</x:v>
      </x:c>
      <x:c r="C285" s="5" t="str">
        <x:v>D3_EVIDENCE</x:v>
      </x:c>
      <x:c r="D285" s="5" t="str">
        <x:v>effects_partially_correct_rate</x:v>
      </x:c>
      <x:c r="E285" s="5" t="n">
        <x:v>1</x:v>
      </x:c>
      <x:c r="F285" s="5" t="n">
        <x:v>21</x:v>
      </x:c>
      <x:c r="G285" s="10" t="n">
        <x:f>IF(COUNTBLANK(E285:F285)&gt;0,"N/A",IF(F285=0,"N/A",E285/F285))</x:f>
        <x:v>0.047619047619047616</x:v>
      </x:c>
      <x:c r="H285" s="5" t="str">
        <x:v>Silver</x:v>
      </x:c>
      <x:c r="I285" s="5" t="n">
        <x:v>28</x:v>
      </x:c>
      <x:c r="J285" s="5" t="n">
        <x:v>7</x:v>
      </x:c>
      <x:c r="K285" s="5" t="str">
        <x:v>rate</x:v>
      </x:c>
      <x:c r="L285" s="5" t="str"/>
    </x:row>
    <x:row r="286" ht="20" hidden="0" customHeight="1">
      <x:c r="A286" s="5" t="str">
        <x:v>paired_ablation</x:v>
      </x:c>
      <x:c r="B286" s="5" t="str">
        <x:v>development</x:v>
      </x:c>
      <x:c r="C286" s="5" t="str">
        <x:v>D3_EVIDENCE</x:v>
      </x:c>
      <x:c r="D286" s="5" t="str">
        <x:v>multiple_contributions_correct_rate</x:v>
      </x:c>
      <x:c r="E286" s="5" t="n">
        <x:v>25</x:v>
      </x:c>
      <x:c r="F286" s="5" t="n">
        <x:v>26</x:v>
      </x:c>
      <x:c r="G286" s="10" t="n">
        <x:f>IF(COUNTBLANK(E286:F286)&gt;0,"N/A",IF(F286=0,"N/A",E286/F286))</x:f>
        <x:v>0.9615384615384616</x:v>
      </x:c>
      <x:c r="H286" s="5" t="str">
        <x:v>Silver</x:v>
      </x:c>
      <x:c r="I286" s="5" t="n">
        <x:v>28</x:v>
      </x:c>
      <x:c r="J286" s="5" t="n">
        <x:v>2</x:v>
      </x:c>
      <x:c r="K286" s="5" t="str">
        <x:v>rate</x:v>
      </x:c>
      <x:c r="L286" s="5" t="str">
        <x:v>Correct / {Correct,Partially Correct,Incorrect}; insufficient and uncertain excluded; same-model Silver</x:v>
      </x:c>
    </x:row>
    <x:row r="287" ht="20" hidden="0" customHeight="1">
      <x:c r="A287" s="5" t="str">
        <x:v>paired_ablation</x:v>
      </x:c>
      <x:c r="B287" s="5" t="str">
        <x:v>development</x:v>
      </x:c>
      <x:c r="C287" s="5" t="str">
        <x:v>D3_EVIDENCE</x:v>
      </x:c>
      <x:c r="D287" s="5" t="str">
        <x:v>multiple_contributions_partially_correct_rate</x:v>
      </x:c>
      <x:c r="E287" s="5" t="n">
        <x:v>1</x:v>
      </x:c>
      <x:c r="F287" s="5" t="n">
        <x:v>26</x:v>
      </x:c>
      <x:c r="G287" s="10" t="n">
        <x:f>IF(COUNTBLANK(E287:F287)&gt;0,"N/A",IF(F287=0,"N/A",E287/F287))</x:f>
        <x:v>0.038461538461538464</x:v>
      </x:c>
      <x:c r="H287" s="5" t="str">
        <x:v>Silver</x:v>
      </x:c>
      <x:c r="I287" s="5" t="n">
        <x:v>28</x:v>
      </x:c>
      <x:c r="J287" s="5" t="n">
        <x:v>2</x:v>
      </x:c>
      <x:c r="K287" s="5" t="str">
        <x:v>rate</x:v>
      </x:c>
      <x:c r="L287" s="5" t="str"/>
    </x:row>
    <x:row r="288" ht="20" hidden="0" customHeight="1">
      <x:c r="A288" s="5" t="str">
        <x:v>paired_ablation</x:v>
      </x:c>
      <x:c r="B288" s="5" t="str">
        <x:v>development</x:v>
      </x:c>
      <x:c r="C288" s="5" t="str">
        <x:v>D3_EVIDENCE</x:v>
      </x:c>
      <x:c r="D288" s="5" t="str">
        <x:v>hallucination_correct_rate</x:v>
      </x:c>
      <x:c r="E288" s="5" t="n">
        <x:v>28</x:v>
      </x:c>
      <x:c r="F288" s="5" t="n">
        <x:v>28</x:v>
      </x:c>
      <x:c r="G288" s="10" t="n">
        <x:f>IF(COUNTBLANK(E288:F288)&gt;0,"N/A",IF(F288=0,"N/A",E288/F288))</x:f>
        <x:v>1</x:v>
      </x:c>
      <x:c r="H288" s="5" t="str">
        <x:v>Silver</x:v>
      </x:c>
      <x:c r="I288" s="5" t="n">
        <x:v>28</x:v>
      </x:c>
      <x:c r="J288" s="5" t="n">
        <x:v>0</x:v>
      </x:c>
      <x:c r="K288" s="5" t="str">
        <x:v>rate</x:v>
      </x:c>
      <x:c r="L288" s="5" t="str">
        <x:v>Correct / {Correct,Partially Correct,Incorrect}; insufficient and uncertain excluded; same-model Silver</x:v>
      </x:c>
    </x:row>
    <x:row r="289" ht="20" hidden="0" customHeight="1">
      <x:c r="A289" s="5" t="str">
        <x:v>paired_ablation</x:v>
      </x:c>
      <x:c r="B289" s="5" t="str">
        <x:v>development</x:v>
      </x:c>
      <x:c r="C289" s="5" t="str">
        <x:v>D3_EVIDENCE</x:v>
      </x:c>
      <x:c r="D289" s="5" t="str">
        <x:v>hallucination_partially_correct_rate</x:v>
      </x:c>
      <x:c r="E289" s="5" t="n">
        <x:v>0</x:v>
      </x:c>
      <x:c r="F289" s="5" t="n">
        <x:v>28</x:v>
      </x:c>
      <x:c r="G289" s="10" t="n">
        <x:f>IF(COUNTBLANK(E289:F289)&gt;0,"N/A",IF(F289=0,"N/A",E289/F289))</x:f>
        <x:v>0</x:v>
      </x:c>
      <x:c r="H289" s="5" t="str">
        <x:v>Silver</x:v>
      </x:c>
      <x:c r="I289" s="5" t="n">
        <x:v>28</x:v>
      </x:c>
      <x:c r="J289" s="5" t="n">
        <x:v>0</x:v>
      </x:c>
      <x:c r="K289" s="5" t="str">
        <x:v>rate</x:v>
      </x:c>
      <x:c r="L289" s="5" t="str"/>
    </x:row>
    <x:row r="290" ht="31" hidden="0" customHeight="1">
      <x:c r="A290" s="5" t="str">
        <x:v>paired_ablation</x:v>
      </x:c>
      <x:c r="B290" s="5" t="str">
        <x:v>development</x:v>
      </x:c>
      <x:c r="C290" s="5" t="str">
        <x:v>D3_EVIDENCE</x:v>
      </x:c>
      <x:c r="D290" s="5" t="str">
        <x:v>contribution_coverage</x:v>
      </x:c>
      <x:c r="E290" s="5" t="n">
        <x:v>32</x:v>
      </x:c>
      <x:c r="F290" s="5" t="n">
        <x:v>32</x:v>
      </x:c>
      <x:c r="G290" s="10" t="n">
        <x:f>IF(COUNTBLANK(E290:F290)&gt;0,"N/A",IF(F290=0,"N/A",E290/F290))</x:f>
        <x:v>1</x:v>
      </x:c>
      <x:c r="H290" s="5" t="str">
        <x:v>Silver</x:v>
      </x:c>
      <x:c r="I290" s="5" t="n">
        <x:v>28</x:v>
      </x:c>
      <x:c r="J290" s="5" t="n">
        <x:v>3</x:v>
      </x:c>
      <x:c r="K290" s="5" t="str">
        <x:v>rate</x:v>
      </x:c>
      <x:c r="L290" s="5" t="str">
        <x:v>Source-reference denominators required consistent across matched configs; disagreements/zero applicability excluded</x:v>
      </x:c>
    </x:row>
    <x:row r="291" ht="31" hidden="0" customHeight="1">
      <x:c r="A291" s="5" t="str">
        <x:v>paired_ablation</x:v>
      </x:c>
      <x:c r="B291" s="5" t="str">
        <x:v>development</x:v>
      </x:c>
      <x:c r="C291" s="5" t="str">
        <x:v>D3_EVIDENCE</x:v>
      </x:c>
      <x:c r="D291" s="5" t="str">
        <x:v>material_retention</x:v>
      </x:c>
      <x:c r="E291" s="5" t="n">
        <x:v>44</x:v>
      </x:c>
      <x:c r="F291" s="5" t="n">
        <x:v>45</x:v>
      </x:c>
      <x:c r="G291" s="10" t="n">
        <x:f>IF(COUNTBLANK(E291:F291)&gt;0,"N/A",IF(F291=0,"N/A",E291/F291))</x:f>
        <x:v>0.9777777777777777</x:v>
      </x:c>
      <x:c r="H291" s="5" t="str">
        <x:v>Silver</x:v>
      </x:c>
      <x:c r="I291" s="5" t="n">
        <x:v>28</x:v>
      </x:c>
      <x:c r="J291" s="5" t="n">
        <x:v>8</x:v>
      </x:c>
      <x:c r="K291" s="5" t="str">
        <x:v>rate</x:v>
      </x:c>
      <x:c r="L291" s="5" t="str">
        <x:v>Source-reference denominators required consistent across matched configs; disagreements/zero applicability excluded</x:v>
      </x:c>
    </x:row>
    <x:row r="292" ht="31" hidden="0" customHeight="1">
      <x:c r="A292" s="5" t="str">
        <x:v>paired_ablation</x:v>
      </x:c>
      <x:c r="B292" s="5" t="str">
        <x:v>development</x:v>
      </x:c>
      <x:c r="C292" s="5" t="str">
        <x:v>D3_EVIDENCE</x:v>
      </x:c>
      <x:c r="D292" s="5" t="str">
        <x:v>process_retention</x:v>
      </x:c>
      <x:c r="E292" s="5" t="n">
        <x:v>37</x:v>
      </x:c>
      <x:c r="F292" s="5" t="n">
        <x:v>37</x:v>
      </x:c>
      <x:c r="G292" s="10" t="n">
        <x:f>IF(COUNTBLANK(E292:F292)&gt;0,"N/A",IF(F292=0,"N/A",E292/F292))</x:f>
        <x:v>1</x:v>
      </x:c>
      <x:c r="H292" s="5" t="str">
        <x:v>Silver</x:v>
      </x:c>
      <x:c r="I292" s="5" t="n">
        <x:v>28</x:v>
      </x:c>
      <x:c r="J292" s="5" t="n">
        <x:v>12</x:v>
      </x:c>
      <x:c r="K292" s="5" t="str">
        <x:v>rate</x:v>
      </x:c>
      <x:c r="L292" s="5" t="str">
        <x:v>Source-reference denominators required consistent across matched configs; disagreements/zero applicability excluded</x:v>
      </x:c>
    </x:row>
    <x:row r="293" ht="20" hidden="0" customHeight="1">
      <x:c r="A293" s="5" t="str">
        <x:v>paired_ablation</x:v>
      </x:c>
      <x:c r="B293" s="5" t="str">
        <x:v>development</x:v>
      </x:c>
      <x:c r="C293" s="5" t="str">
        <x:v>D3_EVIDENCE</x:v>
      </x:c>
      <x:c r="D293" s="5" t="str">
        <x:v>multi_contribution_omission_rate</x:v>
      </x:c>
      <x:c r="E293" s="5" t="n">
        <x:v>0</x:v>
      </x:c>
      <x:c r="F293" s="5" t="n">
        <x:v>3</x:v>
      </x:c>
      <x:c r="G293" s="10" t="n">
        <x:f>IF(COUNTBLANK(E293:F293)&gt;0,"N/A",IF(F293=0,"N/A",E293/F293))</x:f>
        <x:v>0</x:v>
      </x:c>
      <x:c r="H293" s="5" t="str">
        <x:v>Silver</x:v>
      </x:c>
      <x:c r="I293" s="5" t="n">
        <x:v>28</x:v>
      </x:c>
      <x:c r="J293" s="5" t="n">
        <x:v>25</x:v>
      </x:c>
      <x:c r="K293" s="5" t="str">
        <x:v>rate</x:v>
      </x:c>
      <x:c r="L293" s="5" t="str"/>
    </x:row>
    <x:row r="294" ht="20" hidden="0" customHeight="1">
      <x:c r="A294" s="5" t="str">
        <x:v>paired_ablation</x:v>
      </x:c>
      <x:c r="B294" s="5" t="str">
        <x:v>development</x:v>
      </x:c>
      <x:c r="C294" s="5" t="str">
        <x:v>D3_EVIDENCE</x:v>
      </x:c>
      <x:c r="D294" s="5" t="str">
        <x:v>full_conclusion_support_rate</x:v>
      </x:c>
      <x:c r="E294" s="5" t="n">
        <x:v>25</x:v>
      </x:c>
      <x:c r="F294" s="5" t="n">
        <x:v>25</x:v>
      </x:c>
      <x:c r="G294" s="10" t="n">
        <x:f>IF(COUNTBLANK(E294:F294)&gt;0,"N/A",IF(F294=0,"N/A",E294/F294))</x:f>
        <x:v>1</x:v>
      </x:c>
      <x:c r="H294" s="5" t="str">
        <x:v>Silver</x:v>
      </x:c>
      <x:c r="I294" s="5" t="n">
        <x:v>28</x:v>
      </x:c>
      <x:c r="J294" s="5" t="n">
        <x:v>3</x:v>
      </x:c>
      <x:c r="K294" s="5" t="str">
        <x:v>rate</x:v>
      </x:c>
      <x:c r="L294" s="5" t="str"/>
    </x:row>
    <x:row r="295" ht="20" hidden="0" customHeight="1">
      <x:c r="A295" s="5" t="str">
        <x:v>paired_ablation</x:v>
      </x:c>
      <x:c r="B295" s="5" t="str">
        <x:v>development</x:v>
      </x:c>
      <x:c r="C295" s="5" t="str">
        <x:v>D3_EVIDENCE</x:v>
      </x:c>
      <x:c r="D295" s="5" t="str">
        <x:v>mean_contributions_per_family</x:v>
      </x:c>
      <x:c r="E295" s="5" t="n">
        <x:v>32</x:v>
      </x:c>
      <x:c r="F295" s="5" t="n">
        <x:v>28</x:v>
      </x:c>
      <x:c r="G295" s="11" t="n">
        <x:f>IF(COUNTBLANK(E295:F295)&gt;0,"N/A",IF(F295=0,"N/A",E295/F295))</x:f>
        <x:v>1.1428571428571428</x:v>
      </x:c>
      <x:c r="H295" s="5" t="str">
        <x:v>Silver</x:v>
      </x:c>
      <x:c r="I295" s="5" t="n">
        <x:v>28</x:v>
      </x:c>
      <x:c r="J295" s="5" t="n">
        <x:v>0</x:v>
      </x:c>
      <x:c r="K295" s="5" t="str">
        <x:v>contributions/family</x:v>
      </x:c>
      <x:c r="L295" s="5" t="str"/>
    </x:row>
    <x:row r="296" ht="20" hidden="0" customHeight="1">
      <x:c r="A296" s="5" t="str">
        <x:v>paired_ablation</x:v>
      </x:c>
      <x:c r="B296" s="5" t="str">
        <x:v>development</x:v>
      </x:c>
      <x:c r="C296" s="5" t="str">
        <x:v>D3_EVIDENCE</x:v>
      </x:c>
      <x:c r="D296" s="5" t="str">
        <x:v>oversplit_contribution_rate</x:v>
      </x:c>
      <x:c r="E296" s="5" t="n">
        <x:v>2</x:v>
      </x:c>
      <x:c r="F296" s="5" t="n">
        <x:v>32</x:v>
      </x:c>
      <x:c r="G296" s="10" t="n">
        <x:f>IF(COUNTBLANK(E296:F296)&gt;0,"N/A",IF(F296=0,"N/A",E296/F296))</x:f>
        <x:v>0.0625</x:v>
      </x:c>
      <x:c r="H296" s="5" t="str">
        <x:v>Silver</x:v>
      </x:c>
      <x:c r="I296" s="5" t="n">
        <x:v>28</x:v>
      </x:c>
      <x:c r="J296" s="5" t="n">
        <x:v>0</x:v>
      </x:c>
      <x:c r="K296" s="5" t="str">
        <x:v>rate</x:v>
      </x:c>
      <x:c r="L296" s="5" t="str">
        <x:v>Auditor oversplit units / actual explicit output units; not a human error rate</x:v>
      </x:c>
    </x:row>
    <x:row r="297" ht="20" hidden="0" customHeight="1">
      <x:c r="A297" s="5" t="str">
        <x:v>paired_ablation</x:v>
      </x:c>
      <x:c r="B297" s="5" t="str">
        <x:v>development</x:v>
      </x:c>
      <x:c r="C297" s="5" t="str">
        <x:v>D3_EVIDENCE</x:v>
      </x:c>
      <x:c r="D297" s="5" t="str">
        <x:v>hallucinated_contribution_rate</x:v>
      </x:c>
      <x:c r="E297" s="5" t="n">
        <x:v>0</x:v>
      </x:c>
      <x:c r="F297" s="5" t="n">
        <x:v>32</x:v>
      </x:c>
      <x:c r="G297" s="10" t="n">
        <x:f>IF(COUNTBLANK(E297:F297)&gt;0,"N/A",IF(F297=0,"N/A",E297/F297))</x:f>
        <x:v>0</x:v>
      </x:c>
      <x:c r="H297" s="5" t="str">
        <x:v>Silver</x:v>
      </x:c>
      <x:c r="I297" s="5" t="n">
        <x:v>28</x:v>
      </x:c>
      <x:c r="J297" s="5" t="n">
        <x:v>0</x:v>
      </x:c>
      <x:c r="K297" s="5" t="str">
        <x:v>rate</x:v>
      </x:c>
      <x:c r="L297" s="5" t="str"/>
    </x:row>
    <x:row r="298" ht="20" hidden="0" customHeight="1">
      <x:c r="A298" s="5" t="str">
        <x:v>paired_ablation</x:v>
      </x:c>
      <x:c r="B298" s="5" t="str">
        <x:v>development</x:v>
      </x:c>
      <x:c r="C298" s="5" t="str">
        <x:v>D3_EVIDENCE</x:v>
      </x:c>
      <x:c r="D298" s="5" t="str">
        <x:v>technical_mechanism_gold_accuracy</x:v>
      </x:c>
      <x:c r="E298" s="5"/>
      <x:c r="F298" s="5"/>
      <x:c r="G298" s="10" t="str">
        <x:f>IF(COUNTBLANK(E298:F298)&gt;0,"N/A",IF(F298=0,"N/A",E298/F298))</x:f>
        <x:v>N/A</x:v>
      </x:c>
      <x:c r="H298" s="5" t="str">
        <x:v>Gold</x:v>
      </x:c>
      <x:c r="I298" s="5" t="n">
        <x:v>0</x:v>
      </x:c>
      <x:c r="J298" s="5" t="n">
        <x:v>0</x:v>
      </x:c>
      <x:c r="K298" s="5" t="str">
        <x:v>rate</x:v>
      </x:c>
      <x:c r="L298" s="5" t="str">
        <x:v>N/A: zero independent human Gold labels; AI must not be promoted to human truth</x:v>
      </x:c>
    </x:row>
    <x:row r="299" ht="20" hidden="0" customHeight="1">
      <x:c r="A299" s="5" t="str">
        <x:v>paired_ablation</x:v>
      </x:c>
      <x:c r="B299" s="5" t="str">
        <x:v>development</x:v>
      </x:c>
      <x:c r="C299" s="5" t="str">
        <x:v>D3_EVIDENCE</x:v>
      </x:c>
      <x:c r="D299" s="5" t="str">
        <x:v>materials_gold_accuracy</x:v>
      </x:c>
      <x:c r="E299" s="5"/>
      <x:c r="F299" s="5"/>
      <x:c r="G299" s="10" t="str">
        <x:f>IF(COUNTBLANK(E299:F299)&gt;0,"N/A",IF(F299=0,"N/A",E299/F299))</x:f>
        <x:v>N/A</x:v>
      </x:c>
      <x:c r="H299" s="5" t="str">
        <x:v>Gold</x:v>
      </x:c>
      <x:c r="I299" s="5" t="n">
        <x:v>0</x:v>
      </x:c>
      <x:c r="J299" s="5" t="n">
        <x:v>0</x:v>
      </x:c>
      <x:c r="K299" s="5" t="str">
        <x:v>rate</x:v>
      </x:c>
      <x:c r="L299" s="5" t="str">
        <x:v>N/A: zero independent human Gold labels; AI must not be promoted to human truth</x:v>
      </x:c>
    </x:row>
    <x:row r="300" ht="20" hidden="0" customHeight="1">
      <x:c r="A300" s="5" t="str">
        <x:v>paired_ablation</x:v>
      </x:c>
      <x:c r="B300" s="5" t="str">
        <x:v>development</x:v>
      </x:c>
      <x:c r="C300" s="5" t="str">
        <x:v>D3_EVIDENCE</x:v>
      </x:c>
      <x:c r="D300" s="5" t="str">
        <x:v>process_method_gold_accuracy</x:v>
      </x:c>
      <x:c r="E300" s="5"/>
      <x:c r="F300" s="5"/>
      <x:c r="G300" s="10" t="str">
        <x:f>IF(COUNTBLANK(E300:F300)&gt;0,"N/A",IF(F300=0,"N/A",E300/F300))</x:f>
        <x:v>N/A</x:v>
      </x:c>
      <x:c r="H300" s="5" t="str">
        <x:v>Gold</x:v>
      </x:c>
      <x:c r="I300" s="5" t="n">
        <x:v>0</x:v>
      </x:c>
      <x:c r="J300" s="5" t="n">
        <x:v>0</x:v>
      </x:c>
      <x:c r="K300" s="5" t="str">
        <x:v>rate</x:v>
      </x:c>
      <x:c r="L300" s="5" t="str">
        <x:v>N/A: zero independent human Gold labels; AI must not be promoted to human truth</x:v>
      </x:c>
    </x:row>
    <x:row r="301" ht="20" hidden="0" customHeight="1">
      <x:c r="A301" s="5" t="str">
        <x:v>paired_ablation</x:v>
      </x:c>
      <x:c r="B301" s="5" t="str">
        <x:v>development</x:v>
      </x:c>
      <x:c r="C301" s="5" t="str">
        <x:v>D3_EVIDENCE</x:v>
      </x:c>
      <x:c r="D301" s="5" t="str">
        <x:v>parameters_gold_accuracy</x:v>
      </x:c>
      <x:c r="E301" s="5"/>
      <x:c r="F301" s="5"/>
      <x:c r="G301" s="10" t="str">
        <x:f>IF(COUNTBLANK(E301:F301)&gt;0,"N/A",IF(F301=0,"N/A",E301/F301))</x:f>
        <x:v>N/A</x:v>
      </x:c>
      <x:c r="H301" s="5" t="str">
        <x:v>Gold</x:v>
      </x:c>
      <x:c r="I301" s="5" t="n">
        <x:v>0</x:v>
      </x:c>
      <x:c r="J301" s="5" t="n">
        <x:v>0</x:v>
      </x:c>
      <x:c r="K301" s="5" t="str">
        <x:v>rate</x:v>
      </x:c>
      <x:c r="L301" s="5" t="str">
        <x:v>N/A: zero independent human Gold labels; AI must not be promoted to human truth</x:v>
      </x:c>
    </x:row>
    <x:row r="302" ht="20" hidden="0" customHeight="1">
      <x:c r="A302" s="5" t="str">
        <x:v>paired_ablation</x:v>
      </x:c>
      <x:c r="B302" s="5" t="str">
        <x:v>development</x:v>
      </x:c>
      <x:c r="C302" s="5" t="str">
        <x:v>D3_EVIDENCE</x:v>
      </x:c>
      <x:c r="D302" s="5" t="str">
        <x:v>multiple_contributions_gold_accuracy</x:v>
      </x:c>
      <x:c r="E302" s="5"/>
      <x:c r="F302" s="5"/>
      <x:c r="G302" s="10" t="str">
        <x:f>IF(COUNTBLANK(E302:F302)&gt;0,"N/A",IF(F302=0,"N/A",E302/F302))</x:f>
        <x:v>N/A</x:v>
      </x:c>
      <x:c r="H302" s="5" t="str">
        <x:v>Gold</x:v>
      </x:c>
      <x:c r="I302" s="5" t="n">
        <x:v>0</x:v>
      </x:c>
      <x:c r="J302" s="5" t="n">
        <x:v>0</x:v>
      </x:c>
      <x:c r="K302" s="5" t="str">
        <x:v>rate</x:v>
      </x:c>
      <x:c r="L302" s="5" t="str">
        <x:v>N/A: zero independent human Gold labels; AI must not be promoted to human truth</x:v>
      </x:c>
    </x:row>
    <x:row r="303" ht="20" hidden="0" customHeight="1">
      <x:c r="A303" s="5" t="str">
        <x:v>paired_ablation</x:v>
      </x:c>
      <x:c r="B303" s="5" t="str">
        <x:v>development</x:v>
      </x:c>
      <x:c r="C303" s="5" t="str">
        <x:v>D3_FULL</x:v>
      </x:c>
      <x:c r="D303" s="5" t="str">
        <x:v>technical_object_correct_rate</x:v>
      </x:c>
      <x:c r="E303" s="5" t="n">
        <x:v>27</x:v>
      </x:c>
      <x:c r="F303" s="5" t="n">
        <x:v>27</x:v>
      </x:c>
      <x:c r="G303" s="10" t="n">
        <x:f>IF(COUNTBLANK(E303:F303)&gt;0,"N/A",IF(F303=0,"N/A",E303/F303))</x:f>
        <x:v>1</x:v>
      </x:c>
      <x:c r="H303" s="5" t="str">
        <x:v>Silver</x:v>
      </x:c>
      <x:c r="I303" s="5" t="n">
        <x:v>28</x:v>
      </x:c>
      <x:c r="J303" s="5" t="n">
        <x:v>1</x:v>
      </x:c>
      <x:c r="K303" s="5" t="str">
        <x:v>rate</x:v>
      </x:c>
      <x:c r="L303" s="5" t="str">
        <x:v>Correct / {Correct,Partially Correct,Incorrect}; insufficient and uncertain excluded; same-model Silver</x:v>
      </x:c>
    </x:row>
    <x:row r="304" ht="20" hidden="0" customHeight="1">
      <x:c r="A304" s="5" t="str">
        <x:v>paired_ablation</x:v>
      </x:c>
      <x:c r="B304" s="5" t="str">
        <x:v>development</x:v>
      </x:c>
      <x:c r="C304" s="5" t="str">
        <x:v>D3_FULL</x:v>
      </x:c>
      <x:c r="D304" s="5" t="str">
        <x:v>technical_object_partially_correct_rate</x:v>
      </x:c>
      <x:c r="E304" s="5" t="n">
        <x:v>0</x:v>
      </x:c>
      <x:c r="F304" s="5" t="n">
        <x:v>27</x:v>
      </x:c>
      <x:c r="G304" s="10" t="n">
        <x:f>IF(COUNTBLANK(E304:F304)&gt;0,"N/A",IF(F304=0,"N/A",E304/F304))</x:f>
        <x:v>0</x:v>
      </x:c>
      <x:c r="H304" s="5" t="str">
        <x:v>Silver</x:v>
      </x:c>
      <x:c r="I304" s="5" t="n">
        <x:v>28</x:v>
      </x:c>
      <x:c r="J304" s="5" t="n">
        <x:v>1</x:v>
      </x:c>
      <x:c r="K304" s="5" t="str">
        <x:v>rate</x:v>
      </x:c>
      <x:c r="L304" s="5" t="str"/>
    </x:row>
    <x:row r="305" ht="20" hidden="0" customHeight="1">
      <x:c r="A305" s="5" t="str">
        <x:v>paired_ablation</x:v>
      </x:c>
      <x:c r="B305" s="5" t="str">
        <x:v>development</x:v>
      </x:c>
      <x:c r="C305" s="5" t="str">
        <x:v>D3_FULL</x:v>
      </x:c>
      <x:c r="D305" s="5" t="str">
        <x:v>technical_problem_correct_rate</x:v>
      </x:c>
      <x:c r="E305" s="5" t="n">
        <x:v>20</x:v>
      </x:c>
      <x:c r="F305" s="5" t="n">
        <x:v>20</x:v>
      </x:c>
      <x:c r="G305" s="10" t="n">
        <x:f>IF(COUNTBLANK(E305:F305)&gt;0,"N/A",IF(F305=0,"N/A",E305/F305))</x:f>
        <x:v>1</x:v>
      </x:c>
      <x:c r="H305" s="5" t="str">
        <x:v>Silver</x:v>
      </x:c>
      <x:c r="I305" s="5" t="n">
        <x:v>28</x:v>
      </x:c>
      <x:c r="J305" s="5" t="n">
        <x:v>8</x:v>
      </x:c>
      <x:c r="K305" s="5" t="str">
        <x:v>rate</x:v>
      </x:c>
      <x:c r="L305" s="5" t="str">
        <x:v>Correct / {Correct,Partially Correct,Incorrect}; insufficient and uncertain excluded; same-model Silver</x:v>
      </x:c>
    </x:row>
    <x:row r="306" ht="20" hidden="0" customHeight="1">
      <x:c r="A306" s="5" t="str">
        <x:v>paired_ablation</x:v>
      </x:c>
      <x:c r="B306" s="5" t="str">
        <x:v>development</x:v>
      </x:c>
      <x:c r="C306" s="5" t="str">
        <x:v>D3_FULL</x:v>
      </x:c>
      <x:c r="D306" s="5" t="str">
        <x:v>technical_problem_partially_correct_rate</x:v>
      </x:c>
      <x:c r="E306" s="5" t="n">
        <x:v>0</x:v>
      </x:c>
      <x:c r="F306" s="5" t="n">
        <x:v>20</x:v>
      </x:c>
      <x:c r="G306" s="10" t="n">
        <x:f>IF(COUNTBLANK(E306:F306)&gt;0,"N/A",IF(F306=0,"N/A",E306/F306))</x:f>
        <x:v>0</x:v>
      </x:c>
      <x:c r="H306" s="5" t="str">
        <x:v>Silver</x:v>
      </x:c>
      <x:c r="I306" s="5" t="n">
        <x:v>28</x:v>
      </x:c>
      <x:c r="J306" s="5" t="n">
        <x:v>8</x:v>
      </x:c>
      <x:c r="K306" s="5" t="str">
        <x:v>rate</x:v>
      </x:c>
      <x:c r="L306" s="5" t="str"/>
    </x:row>
    <x:row r="307" ht="20" hidden="0" customHeight="1">
      <x:c r="A307" s="5" t="str">
        <x:v>paired_ablation</x:v>
      </x:c>
      <x:c r="B307" s="5" t="str">
        <x:v>development</x:v>
      </x:c>
      <x:c r="C307" s="5" t="str">
        <x:v>D3_FULL</x:v>
      </x:c>
      <x:c r="D307" s="5" t="str">
        <x:v>technical_mechanism_correct_rate</x:v>
      </x:c>
      <x:c r="E307" s="5" t="n">
        <x:v>25</x:v>
      </x:c>
      <x:c r="F307" s="5" t="n">
        <x:v>25</x:v>
      </x:c>
      <x:c r="G307" s="10" t="n">
        <x:f>IF(COUNTBLANK(E307:F307)&gt;0,"N/A",IF(F307=0,"N/A",E307/F307))</x:f>
        <x:v>1</x:v>
      </x:c>
      <x:c r="H307" s="5" t="str">
        <x:v>Silver</x:v>
      </x:c>
      <x:c r="I307" s="5" t="n">
        <x:v>28</x:v>
      </x:c>
      <x:c r="J307" s="5" t="n">
        <x:v>3</x:v>
      </x:c>
      <x:c r="K307" s="5" t="str">
        <x:v>rate</x:v>
      </x:c>
      <x:c r="L307" s="5" t="str">
        <x:v>Correct / {Correct,Partially Correct,Incorrect}; insufficient and uncertain excluded; same-model Silver</x:v>
      </x:c>
    </x:row>
    <x:row r="308" ht="20" hidden="0" customHeight="1">
      <x:c r="A308" s="5" t="str">
        <x:v>paired_ablation</x:v>
      </x:c>
      <x:c r="B308" s="5" t="str">
        <x:v>development</x:v>
      </x:c>
      <x:c r="C308" s="5" t="str">
        <x:v>D3_FULL</x:v>
      </x:c>
      <x:c r="D308" s="5" t="str">
        <x:v>technical_mechanism_partially_correct_rate</x:v>
      </x:c>
      <x:c r="E308" s="5" t="n">
        <x:v>0</x:v>
      </x:c>
      <x:c r="F308" s="5" t="n">
        <x:v>25</x:v>
      </x:c>
      <x:c r="G308" s="10" t="n">
        <x:f>IF(COUNTBLANK(E308:F308)&gt;0,"N/A",IF(F308=0,"N/A",E308/F308))</x:f>
        <x:v>0</x:v>
      </x:c>
      <x:c r="H308" s="5" t="str">
        <x:v>Silver</x:v>
      </x:c>
      <x:c r="I308" s="5" t="n">
        <x:v>28</x:v>
      </x:c>
      <x:c r="J308" s="5" t="n">
        <x:v>3</x:v>
      </x:c>
      <x:c r="K308" s="5" t="str">
        <x:v>rate</x:v>
      </x:c>
      <x:c r="L308" s="5" t="str"/>
    </x:row>
    <x:row r="309" ht="20" hidden="0" customHeight="1">
      <x:c r="A309" s="5" t="str">
        <x:v>paired_ablation</x:v>
      </x:c>
      <x:c r="B309" s="5" t="str">
        <x:v>development</x:v>
      </x:c>
      <x:c r="C309" s="5" t="str">
        <x:v>D3_FULL</x:v>
      </x:c>
      <x:c r="D309" s="5" t="str">
        <x:v>materials_correct_rate</x:v>
      </x:c>
      <x:c r="E309" s="5" t="n">
        <x:v>16</x:v>
      </x:c>
      <x:c r="F309" s="5" t="n">
        <x:v>22</x:v>
      </x:c>
      <x:c r="G309" s="10" t="n">
        <x:f>IF(COUNTBLANK(E309:F309)&gt;0,"N/A",IF(F309=0,"N/A",E309/F309))</x:f>
        <x:v>0.7272727272727273</x:v>
      </x:c>
      <x:c r="H309" s="5" t="str">
        <x:v>Silver</x:v>
      </x:c>
      <x:c r="I309" s="5" t="n">
        <x:v>28</x:v>
      </x:c>
      <x:c r="J309" s="5" t="n">
        <x:v>6</x:v>
      </x:c>
      <x:c r="K309" s="5" t="str">
        <x:v>rate</x:v>
      </x:c>
      <x:c r="L309" s="5" t="str">
        <x:v>Correct / {Correct,Partially Correct,Incorrect}; insufficient and uncertain excluded; same-model Silver</x:v>
      </x:c>
    </x:row>
    <x:row r="310" ht="20" hidden="0" customHeight="1">
      <x:c r="A310" s="5" t="str">
        <x:v>paired_ablation</x:v>
      </x:c>
      <x:c r="B310" s="5" t="str">
        <x:v>development</x:v>
      </x:c>
      <x:c r="C310" s="5" t="str">
        <x:v>D3_FULL</x:v>
      </x:c>
      <x:c r="D310" s="5" t="str">
        <x:v>materials_partially_correct_rate</x:v>
      </x:c>
      <x:c r="E310" s="5" t="n">
        <x:v>6</x:v>
      </x:c>
      <x:c r="F310" s="5" t="n">
        <x:v>22</x:v>
      </x:c>
      <x:c r="G310" s="10" t="n">
        <x:f>IF(COUNTBLANK(E310:F310)&gt;0,"N/A",IF(F310=0,"N/A",E310/F310))</x:f>
        <x:v>0.2727272727272727</x:v>
      </x:c>
      <x:c r="H310" s="5" t="str">
        <x:v>Silver</x:v>
      </x:c>
      <x:c r="I310" s="5" t="n">
        <x:v>28</x:v>
      </x:c>
      <x:c r="J310" s="5" t="n">
        <x:v>6</x:v>
      </x:c>
      <x:c r="K310" s="5" t="str">
        <x:v>rate</x:v>
      </x:c>
      <x:c r="L310" s="5" t="str"/>
    </x:row>
    <x:row r="311" ht="20" hidden="0" customHeight="1">
      <x:c r="A311" s="5" t="str">
        <x:v>paired_ablation</x:v>
      </x:c>
      <x:c r="B311" s="5" t="str">
        <x:v>development</x:v>
      </x:c>
      <x:c r="C311" s="5" t="str">
        <x:v>D3_FULL</x:v>
      </x:c>
      <x:c r="D311" s="5" t="str">
        <x:v>process_method_correct_rate</x:v>
      </x:c>
      <x:c r="E311" s="5" t="n">
        <x:v>12</x:v>
      </x:c>
      <x:c r="F311" s="5" t="n">
        <x:v>15</x:v>
      </x:c>
      <x:c r="G311" s="10" t="n">
        <x:f>IF(COUNTBLANK(E311:F311)&gt;0,"N/A",IF(F311=0,"N/A",E311/F311))</x:f>
        <x:v>0.8</x:v>
      </x:c>
      <x:c r="H311" s="5" t="str">
        <x:v>Silver</x:v>
      </x:c>
      <x:c r="I311" s="5" t="n">
        <x:v>28</x:v>
      </x:c>
      <x:c r="J311" s="5" t="n">
        <x:v>13</x:v>
      </x:c>
      <x:c r="K311" s="5" t="str">
        <x:v>rate</x:v>
      </x:c>
      <x:c r="L311" s="5" t="str">
        <x:v>Correct / {Correct,Partially Correct,Incorrect}; insufficient and uncertain excluded; same-model Silver</x:v>
      </x:c>
    </x:row>
    <x:row r="312" ht="20" hidden="0" customHeight="1">
      <x:c r="A312" s="5" t="str">
        <x:v>paired_ablation</x:v>
      </x:c>
      <x:c r="B312" s="5" t="str">
        <x:v>development</x:v>
      </x:c>
      <x:c r="C312" s="5" t="str">
        <x:v>D3_FULL</x:v>
      </x:c>
      <x:c r="D312" s="5" t="str">
        <x:v>process_method_partially_correct_rate</x:v>
      </x:c>
      <x:c r="E312" s="5" t="n">
        <x:v>3</x:v>
      </x:c>
      <x:c r="F312" s="5" t="n">
        <x:v>15</x:v>
      </x:c>
      <x:c r="G312" s="10" t="n">
        <x:f>IF(COUNTBLANK(E312:F312)&gt;0,"N/A",IF(F312=0,"N/A",E312/F312))</x:f>
        <x:v>0.2</x:v>
      </x:c>
      <x:c r="H312" s="5" t="str">
        <x:v>Silver</x:v>
      </x:c>
      <x:c r="I312" s="5" t="n">
        <x:v>28</x:v>
      </x:c>
      <x:c r="J312" s="5" t="n">
        <x:v>13</x:v>
      </x:c>
      <x:c r="K312" s="5" t="str">
        <x:v>rate</x:v>
      </x:c>
      <x:c r="L312" s="5" t="str"/>
    </x:row>
    <x:row r="313" ht="20" hidden="0" customHeight="1">
      <x:c r="A313" s="5" t="str">
        <x:v>paired_ablation</x:v>
      </x:c>
      <x:c r="B313" s="5" t="str">
        <x:v>development</x:v>
      </x:c>
      <x:c r="C313" s="5" t="str">
        <x:v>D3_FULL</x:v>
      </x:c>
      <x:c r="D313" s="5" t="str">
        <x:v>process_order_correct_rate</x:v>
      </x:c>
      <x:c r="E313" s="5" t="n">
        <x:v>5</x:v>
      </x:c>
      <x:c r="F313" s="5" t="n">
        <x:v>5</x:v>
      </x:c>
      <x:c r="G313" s="10" t="n">
        <x:f>IF(COUNTBLANK(E313:F313)&gt;0,"N/A",IF(F313=0,"N/A",E313/F313))</x:f>
        <x:v>1</x:v>
      </x:c>
      <x:c r="H313" s="5" t="str">
        <x:v>Silver</x:v>
      </x:c>
      <x:c r="I313" s="5" t="n">
        <x:v>28</x:v>
      </x:c>
      <x:c r="J313" s="5" t="n">
        <x:v>23</x:v>
      </x:c>
      <x:c r="K313" s="5" t="str">
        <x:v>rate</x:v>
      </x:c>
      <x:c r="L313" s="5" t="str">
        <x:v>Correct / {Correct,Partially Correct,Incorrect}; insufficient and uncertain excluded; same-model Silver</x:v>
      </x:c>
    </x:row>
    <x:row r="314" ht="20" hidden="0" customHeight="1">
      <x:c r="A314" s="5" t="str">
        <x:v>paired_ablation</x:v>
      </x:c>
      <x:c r="B314" s="5" t="str">
        <x:v>development</x:v>
      </x:c>
      <x:c r="C314" s="5" t="str">
        <x:v>D3_FULL</x:v>
      </x:c>
      <x:c r="D314" s="5" t="str">
        <x:v>process_order_partially_correct_rate</x:v>
      </x:c>
      <x:c r="E314" s="5" t="n">
        <x:v>0</x:v>
      </x:c>
      <x:c r="F314" s="5" t="n">
        <x:v>5</x:v>
      </x:c>
      <x:c r="G314" s="10" t="n">
        <x:f>IF(COUNTBLANK(E314:F314)&gt;0,"N/A",IF(F314=0,"N/A",E314/F314))</x:f>
        <x:v>0</x:v>
      </x:c>
      <x:c r="H314" s="5" t="str">
        <x:v>Silver</x:v>
      </x:c>
      <x:c r="I314" s="5" t="n">
        <x:v>28</x:v>
      </x:c>
      <x:c r="J314" s="5" t="n">
        <x:v>23</x:v>
      </x:c>
      <x:c r="K314" s="5" t="str">
        <x:v>rate</x:v>
      </x:c>
      <x:c r="L314" s="5" t="str"/>
    </x:row>
    <x:row r="315" ht="20" hidden="0" customHeight="1">
      <x:c r="A315" s="5" t="str">
        <x:v>paired_ablation</x:v>
      </x:c>
      <x:c r="B315" s="5" t="str">
        <x:v>development</x:v>
      </x:c>
      <x:c r="C315" s="5" t="str">
        <x:v>D3_FULL</x:v>
      </x:c>
      <x:c r="D315" s="5" t="str">
        <x:v>parameters_correct_rate</x:v>
      </x:c>
      <x:c r="E315" s="5" t="n">
        <x:v>13</x:v>
      </x:c>
      <x:c r="F315" s="5" t="n">
        <x:v>16</x:v>
      </x:c>
      <x:c r="G315" s="10" t="n">
        <x:f>IF(COUNTBLANK(E315:F315)&gt;0,"N/A",IF(F315=0,"N/A",E315/F315))</x:f>
        <x:v>0.8125</x:v>
      </x:c>
      <x:c r="H315" s="5" t="str">
        <x:v>Silver</x:v>
      </x:c>
      <x:c r="I315" s="5" t="n">
        <x:v>28</x:v>
      </x:c>
      <x:c r="J315" s="5" t="n">
        <x:v>12</x:v>
      </x:c>
      <x:c r="K315" s="5" t="str">
        <x:v>rate</x:v>
      </x:c>
      <x:c r="L315" s="5" t="str">
        <x:v>Correct / {Correct,Partially Correct,Incorrect}; insufficient and uncertain excluded; same-model Silver</x:v>
      </x:c>
    </x:row>
    <x:row r="316" ht="20" hidden="0" customHeight="1">
      <x:c r="A316" s="5" t="str">
        <x:v>paired_ablation</x:v>
      </x:c>
      <x:c r="B316" s="5" t="str">
        <x:v>development</x:v>
      </x:c>
      <x:c r="C316" s="5" t="str">
        <x:v>D3_FULL</x:v>
      </x:c>
      <x:c r="D316" s="5" t="str">
        <x:v>parameters_partially_correct_rate</x:v>
      </x:c>
      <x:c r="E316" s="5" t="n">
        <x:v>3</x:v>
      </x:c>
      <x:c r="F316" s="5" t="n">
        <x:v>16</x:v>
      </x:c>
      <x:c r="G316" s="10" t="n">
        <x:f>IF(COUNTBLANK(E316:F316)&gt;0,"N/A",IF(F316=0,"N/A",E316/F316))</x:f>
        <x:v>0.1875</x:v>
      </x:c>
      <x:c r="H316" s="5" t="str">
        <x:v>Silver</x:v>
      </x:c>
      <x:c r="I316" s="5" t="n">
        <x:v>28</x:v>
      </x:c>
      <x:c r="J316" s="5" t="n">
        <x:v>12</x:v>
      </x:c>
      <x:c r="K316" s="5" t="str">
        <x:v>rate</x:v>
      </x:c>
      <x:c r="L316" s="5" t="str"/>
    </x:row>
    <x:row r="317" ht="20" hidden="0" customHeight="1">
      <x:c r="A317" s="5" t="str">
        <x:v>paired_ablation</x:v>
      </x:c>
      <x:c r="B317" s="5" t="str">
        <x:v>development</x:v>
      </x:c>
      <x:c r="C317" s="5" t="str">
        <x:v>D3_FULL</x:v>
      </x:c>
      <x:c r="D317" s="5" t="str">
        <x:v>effects_correct_rate</x:v>
      </x:c>
      <x:c r="E317" s="5" t="n">
        <x:v>20</x:v>
      </x:c>
      <x:c r="F317" s="5" t="n">
        <x:v>21</x:v>
      </x:c>
      <x:c r="G317" s="10" t="n">
        <x:f>IF(COUNTBLANK(E317:F317)&gt;0,"N/A",IF(F317=0,"N/A",E317/F317))</x:f>
        <x:v>0.9523809523809523</x:v>
      </x:c>
      <x:c r="H317" s="5" t="str">
        <x:v>Silver</x:v>
      </x:c>
      <x:c r="I317" s="5" t="n">
        <x:v>28</x:v>
      </x:c>
      <x:c r="J317" s="5" t="n">
        <x:v>7</x:v>
      </x:c>
      <x:c r="K317" s="5" t="str">
        <x:v>rate</x:v>
      </x:c>
      <x:c r="L317" s="5" t="str">
        <x:v>Correct / {Correct,Partially Correct,Incorrect}; insufficient and uncertain excluded; same-model Silver</x:v>
      </x:c>
    </x:row>
    <x:row r="318" ht="20" hidden="0" customHeight="1">
      <x:c r="A318" s="5" t="str">
        <x:v>paired_ablation</x:v>
      </x:c>
      <x:c r="B318" s="5" t="str">
        <x:v>development</x:v>
      </x:c>
      <x:c r="C318" s="5" t="str">
        <x:v>D3_FULL</x:v>
      </x:c>
      <x:c r="D318" s="5" t="str">
        <x:v>effects_partially_correct_rate</x:v>
      </x:c>
      <x:c r="E318" s="5" t="n">
        <x:v>1</x:v>
      </x:c>
      <x:c r="F318" s="5" t="n">
        <x:v>21</x:v>
      </x:c>
      <x:c r="G318" s="10" t="n">
        <x:f>IF(COUNTBLANK(E318:F318)&gt;0,"N/A",IF(F318=0,"N/A",E318/F318))</x:f>
        <x:v>0.047619047619047616</x:v>
      </x:c>
      <x:c r="H318" s="5" t="str">
        <x:v>Silver</x:v>
      </x:c>
      <x:c r="I318" s="5" t="n">
        <x:v>28</x:v>
      </x:c>
      <x:c r="J318" s="5" t="n">
        <x:v>7</x:v>
      </x:c>
      <x:c r="K318" s="5" t="str">
        <x:v>rate</x:v>
      </x:c>
      <x:c r="L318" s="5" t="str"/>
    </x:row>
    <x:row r="319" ht="20" hidden="0" customHeight="1">
      <x:c r="A319" s="5" t="str">
        <x:v>paired_ablation</x:v>
      </x:c>
      <x:c r="B319" s="5" t="str">
        <x:v>development</x:v>
      </x:c>
      <x:c r="C319" s="5" t="str">
        <x:v>D3_FULL</x:v>
      </x:c>
      <x:c r="D319" s="5" t="str">
        <x:v>multiple_contributions_correct_rate</x:v>
      </x:c>
      <x:c r="E319" s="5" t="n">
        <x:v>25</x:v>
      </x:c>
      <x:c r="F319" s="5" t="n">
        <x:v>26</x:v>
      </x:c>
      <x:c r="G319" s="10" t="n">
        <x:f>IF(COUNTBLANK(E319:F319)&gt;0,"N/A",IF(F319=0,"N/A",E319/F319))</x:f>
        <x:v>0.9615384615384616</x:v>
      </x:c>
      <x:c r="H319" s="5" t="str">
        <x:v>Silver</x:v>
      </x:c>
      <x:c r="I319" s="5" t="n">
        <x:v>28</x:v>
      </x:c>
      <x:c r="J319" s="5" t="n">
        <x:v>2</x:v>
      </x:c>
      <x:c r="K319" s="5" t="str">
        <x:v>rate</x:v>
      </x:c>
      <x:c r="L319" s="5" t="str">
        <x:v>Correct / {Correct,Partially Correct,Incorrect}; insufficient and uncertain excluded; same-model Silver</x:v>
      </x:c>
    </x:row>
    <x:row r="320" ht="20" hidden="0" customHeight="1">
      <x:c r="A320" s="5" t="str">
        <x:v>paired_ablation</x:v>
      </x:c>
      <x:c r="B320" s="5" t="str">
        <x:v>development</x:v>
      </x:c>
      <x:c r="C320" s="5" t="str">
        <x:v>D3_FULL</x:v>
      </x:c>
      <x:c r="D320" s="5" t="str">
        <x:v>multiple_contributions_partially_correct_rate</x:v>
      </x:c>
      <x:c r="E320" s="5" t="n">
        <x:v>1</x:v>
      </x:c>
      <x:c r="F320" s="5" t="n">
        <x:v>26</x:v>
      </x:c>
      <x:c r="G320" s="10" t="n">
        <x:f>IF(COUNTBLANK(E320:F320)&gt;0,"N/A",IF(F320=0,"N/A",E320/F320))</x:f>
        <x:v>0.038461538461538464</x:v>
      </x:c>
      <x:c r="H320" s="5" t="str">
        <x:v>Silver</x:v>
      </x:c>
      <x:c r="I320" s="5" t="n">
        <x:v>28</x:v>
      </x:c>
      <x:c r="J320" s="5" t="n">
        <x:v>2</x:v>
      </x:c>
      <x:c r="K320" s="5" t="str">
        <x:v>rate</x:v>
      </x:c>
      <x:c r="L320" s="5" t="str"/>
    </x:row>
    <x:row r="321" ht="20" hidden="0" customHeight="1">
      <x:c r="A321" s="5" t="str">
        <x:v>paired_ablation</x:v>
      </x:c>
      <x:c r="B321" s="5" t="str">
        <x:v>development</x:v>
      </x:c>
      <x:c r="C321" s="5" t="str">
        <x:v>D3_FULL</x:v>
      </x:c>
      <x:c r="D321" s="5" t="str">
        <x:v>hallucination_correct_rate</x:v>
      </x:c>
      <x:c r="E321" s="5" t="n">
        <x:v>28</x:v>
      </x:c>
      <x:c r="F321" s="5" t="n">
        <x:v>28</x:v>
      </x:c>
      <x:c r="G321" s="10" t="n">
        <x:f>IF(COUNTBLANK(E321:F321)&gt;0,"N/A",IF(F321=0,"N/A",E321/F321))</x:f>
        <x:v>1</x:v>
      </x:c>
      <x:c r="H321" s="5" t="str">
        <x:v>Silver</x:v>
      </x:c>
      <x:c r="I321" s="5" t="n">
        <x:v>28</x:v>
      </x:c>
      <x:c r="J321" s="5" t="n">
        <x:v>0</x:v>
      </x:c>
      <x:c r="K321" s="5" t="str">
        <x:v>rate</x:v>
      </x:c>
      <x:c r="L321" s="5" t="str">
        <x:v>Correct / {Correct,Partially Correct,Incorrect}; insufficient and uncertain excluded; same-model Silver</x:v>
      </x:c>
    </x:row>
    <x:row r="322" ht="20" hidden="0" customHeight="1">
      <x:c r="A322" s="5" t="str">
        <x:v>paired_ablation</x:v>
      </x:c>
      <x:c r="B322" s="5" t="str">
        <x:v>development</x:v>
      </x:c>
      <x:c r="C322" s="5" t="str">
        <x:v>D3_FULL</x:v>
      </x:c>
      <x:c r="D322" s="5" t="str">
        <x:v>hallucination_partially_correct_rate</x:v>
      </x:c>
      <x:c r="E322" s="5" t="n">
        <x:v>0</x:v>
      </x:c>
      <x:c r="F322" s="5" t="n">
        <x:v>28</x:v>
      </x:c>
      <x:c r="G322" s="10" t="n">
        <x:f>IF(COUNTBLANK(E322:F322)&gt;0,"N/A",IF(F322=0,"N/A",E322/F322))</x:f>
        <x:v>0</x:v>
      </x:c>
      <x:c r="H322" s="5" t="str">
        <x:v>Silver</x:v>
      </x:c>
      <x:c r="I322" s="5" t="n">
        <x:v>28</x:v>
      </x:c>
      <x:c r="J322" s="5" t="n">
        <x:v>0</x:v>
      </x:c>
      <x:c r="K322" s="5" t="str">
        <x:v>rate</x:v>
      </x:c>
      <x:c r="L322" s="5" t="str"/>
    </x:row>
    <x:row r="323" ht="31" hidden="0" customHeight="1">
      <x:c r="A323" s="5" t="str">
        <x:v>paired_ablation</x:v>
      </x:c>
      <x:c r="B323" s="5" t="str">
        <x:v>development</x:v>
      </x:c>
      <x:c r="C323" s="5" t="str">
        <x:v>D3_FULL</x:v>
      </x:c>
      <x:c r="D323" s="5" t="str">
        <x:v>contribution_coverage</x:v>
      </x:c>
      <x:c r="E323" s="5" t="n">
        <x:v>32</x:v>
      </x:c>
      <x:c r="F323" s="5" t="n">
        <x:v>32</x:v>
      </x:c>
      <x:c r="G323" s="10" t="n">
        <x:f>IF(COUNTBLANK(E323:F323)&gt;0,"N/A",IF(F323=0,"N/A",E323/F323))</x:f>
        <x:v>1</x:v>
      </x:c>
      <x:c r="H323" s="5" t="str">
        <x:v>Silver</x:v>
      </x:c>
      <x:c r="I323" s="5" t="n">
        <x:v>28</x:v>
      </x:c>
      <x:c r="J323" s="5" t="n">
        <x:v>3</x:v>
      </x:c>
      <x:c r="K323" s="5" t="str">
        <x:v>rate</x:v>
      </x:c>
      <x:c r="L323" s="5" t="str">
        <x:v>Source-reference denominators required consistent across matched configs; disagreements/zero applicability excluded</x:v>
      </x:c>
    </x:row>
    <x:row r="324" ht="31" hidden="0" customHeight="1">
      <x:c r="A324" s="5" t="str">
        <x:v>paired_ablation</x:v>
      </x:c>
      <x:c r="B324" s="5" t="str">
        <x:v>development</x:v>
      </x:c>
      <x:c r="C324" s="5" t="str">
        <x:v>D3_FULL</x:v>
      </x:c>
      <x:c r="D324" s="5" t="str">
        <x:v>material_retention</x:v>
      </x:c>
      <x:c r="E324" s="5" t="n">
        <x:v>44</x:v>
      </x:c>
      <x:c r="F324" s="5" t="n">
        <x:v>45</x:v>
      </x:c>
      <x:c r="G324" s="10" t="n">
        <x:f>IF(COUNTBLANK(E324:F324)&gt;0,"N/A",IF(F324=0,"N/A",E324/F324))</x:f>
        <x:v>0.9777777777777777</x:v>
      </x:c>
      <x:c r="H324" s="5" t="str">
        <x:v>Silver</x:v>
      </x:c>
      <x:c r="I324" s="5" t="n">
        <x:v>28</x:v>
      </x:c>
      <x:c r="J324" s="5" t="n">
        <x:v>8</x:v>
      </x:c>
      <x:c r="K324" s="5" t="str">
        <x:v>rate</x:v>
      </x:c>
      <x:c r="L324" s="5" t="str">
        <x:v>Source-reference denominators required consistent across matched configs; disagreements/zero applicability excluded</x:v>
      </x:c>
    </x:row>
    <x:row r="325" ht="31" hidden="0" customHeight="1">
      <x:c r="A325" s="5" t="str">
        <x:v>paired_ablation</x:v>
      </x:c>
      <x:c r="B325" s="5" t="str">
        <x:v>development</x:v>
      </x:c>
      <x:c r="C325" s="5" t="str">
        <x:v>D3_FULL</x:v>
      </x:c>
      <x:c r="D325" s="5" t="str">
        <x:v>process_retention</x:v>
      </x:c>
      <x:c r="E325" s="5" t="n">
        <x:v>37</x:v>
      </x:c>
      <x:c r="F325" s="5" t="n">
        <x:v>37</x:v>
      </x:c>
      <x:c r="G325" s="10" t="n">
        <x:f>IF(COUNTBLANK(E325:F325)&gt;0,"N/A",IF(F325=0,"N/A",E325/F325))</x:f>
        <x:v>1</x:v>
      </x:c>
      <x:c r="H325" s="5" t="str">
        <x:v>Silver</x:v>
      </x:c>
      <x:c r="I325" s="5" t="n">
        <x:v>28</x:v>
      </x:c>
      <x:c r="J325" s="5" t="n">
        <x:v>12</x:v>
      </x:c>
      <x:c r="K325" s="5" t="str">
        <x:v>rate</x:v>
      </x:c>
      <x:c r="L325" s="5" t="str">
        <x:v>Source-reference denominators required consistent across matched configs; disagreements/zero applicability excluded</x:v>
      </x:c>
    </x:row>
    <x:row r="326" ht="20" hidden="0" customHeight="1">
      <x:c r="A326" s="5" t="str">
        <x:v>paired_ablation</x:v>
      </x:c>
      <x:c r="B326" s="5" t="str">
        <x:v>development</x:v>
      </x:c>
      <x:c r="C326" s="5" t="str">
        <x:v>D3_FULL</x:v>
      </x:c>
      <x:c r="D326" s="5" t="str">
        <x:v>multi_contribution_omission_rate</x:v>
      </x:c>
      <x:c r="E326" s="5" t="n">
        <x:v>0</x:v>
      </x:c>
      <x:c r="F326" s="5" t="n">
        <x:v>3</x:v>
      </x:c>
      <x:c r="G326" s="10" t="n">
        <x:f>IF(COUNTBLANK(E326:F326)&gt;0,"N/A",IF(F326=0,"N/A",E326/F326))</x:f>
        <x:v>0</x:v>
      </x:c>
      <x:c r="H326" s="5" t="str">
        <x:v>Silver</x:v>
      </x:c>
      <x:c r="I326" s="5" t="n">
        <x:v>28</x:v>
      </x:c>
      <x:c r="J326" s="5" t="n">
        <x:v>25</x:v>
      </x:c>
      <x:c r="K326" s="5" t="str">
        <x:v>rate</x:v>
      </x:c>
      <x:c r="L326" s="5" t="str"/>
    </x:row>
    <x:row r="327" ht="20" hidden="0" customHeight="1">
      <x:c r="A327" s="5" t="str">
        <x:v>paired_ablation</x:v>
      </x:c>
      <x:c r="B327" s="5" t="str">
        <x:v>development</x:v>
      </x:c>
      <x:c r="C327" s="5" t="str">
        <x:v>D3_FULL</x:v>
      </x:c>
      <x:c r="D327" s="5" t="str">
        <x:v>full_conclusion_support_rate</x:v>
      </x:c>
      <x:c r="E327" s="5" t="n">
        <x:v>25</x:v>
      </x:c>
      <x:c r="F327" s="5" t="n">
        <x:v>25</x:v>
      </x:c>
      <x:c r="G327" s="10" t="n">
        <x:f>IF(COUNTBLANK(E327:F327)&gt;0,"N/A",IF(F327=0,"N/A",E327/F327))</x:f>
        <x:v>1</x:v>
      </x:c>
      <x:c r="H327" s="5" t="str">
        <x:v>Silver</x:v>
      </x:c>
      <x:c r="I327" s="5" t="n">
        <x:v>28</x:v>
      </x:c>
      <x:c r="J327" s="5" t="n">
        <x:v>3</x:v>
      </x:c>
      <x:c r="K327" s="5" t="str">
        <x:v>rate</x:v>
      </x:c>
      <x:c r="L327" s="5" t="str"/>
    </x:row>
    <x:row r="328" ht="20" hidden="0" customHeight="1">
      <x:c r="A328" s="5" t="str">
        <x:v>paired_ablation</x:v>
      </x:c>
      <x:c r="B328" s="5" t="str">
        <x:v>development</x:v>
      </x:c>
      <x:c r="C328" s="5" t="str">
        <x:v>D3_FULL</x:v>
      </x:c>
      <x:c r="D328" s="5" t="str">
        <x:v>mean_contributions_per_family</x:v>
      </x:c>
      <x:c r="E328" s="5" t="n">
        <x:v>32</x:v>
      </x:c>
      <x:c r="F328" s="5" t="n">
        <x:v>28</x:v>
      </x:c>
      <x:c r="G328" s="11" t="n">
        <x:f>IF(COUNTBLANK(E328:F328)&gt;0,"N/A",IF(F328=0,"N/A",E328/F328))</x:f>
        <x:v>1.1428571428571428</x:v>
      </x:c>
      <x:c r="H328" s="5" t="str">
        <x:v>Silver</x:v>
      </x:c>
      <x:c r="I328" s="5" t="n">
        <x:v>28</x:v>
      </x:c>
      <x:c r="J328" s="5" t="n">
        <x:v>0</x:v>
      </x:c>
      <x:c r="K328" s="5" t="str">
        <x:v>contributions/family</x:v>
      </x:c>
      <x:c r="L328" s="5" t="str"/>
    </x:row>
    <x:row r="329" ht="20" hidden="0" customHeight="1">
      <x:c r="A329" s="5" t="str">
        <x:v>paired_ablation</x:v>
      </x:c>
      <x:c r="B329" s="5" t="str">
        <x:v>development</x:v>
      </x:c>
      <x:c r="C329" s="5" t="str">
        <x:v>D3_FULL</x:v>
      </x:c>
      <x:c r="D329" s="5" t="str">
        <x:v>oversplit_contribution_rate</x:v>
      </x:c>
      <x:c r="E329" s="5" t="n">
        <x:v>2</x:v>
      </x:c>
      <x:c r="F329" s="5" t="n">
        <x:v>32</x:v>
      </x:c>
      <x:c r="G329" s="10" t="n">
        <x:f>IF(COUNTBLANK(E329:F329)&gt;0,"N/A",IF(F329=0,"N/A",E329/F329))</x:f>
        <x:v>0.0625</x:v>
      </x:c>
      <x:c r="H329" s="5" t="str">
        <x:v>Silver</x:v>
      </x:c>
      <x:c r="I329" s="5" t="n">
        <x:v>28</x:v>
      </x:c>
      <x:c r="J329" s="5" t="n">
        <x:v>0</x:v>
      </x:c>
      <x:c r="K329" s="5" t="str">
        <x:v>rate</x:v>
      </x:c>
      <x:c r="L329" s="5" t="str">
        <x:v>Auditor oversplit units / actual explicit output units; not a human error rate</x:v>
      </x:c>
    </x:row>
    <x:row r="330" ht="20" hidden="0" customHeight="1">
      <x:c r="A330" s="5" t="str">
        <x:v>paired_ablation</x:v>
      </x:c>
      <x:c r="B330" s="5" t="str">
        <x:v>development</x:v>
      </x:c>
      <x:c r="C330" s="5" t="str">
        <x:v>D3_FULL</x:v>
      </x:c>
      <x:c r="D330" s="5" t="str">
        <x:v>hallucinated_contribution_rate</x:v>
      </x:c>
      <x:c r="E330" s="5" t="n">
        <x:v>0</x:v>
      </x:c>
      <x:c r="F330" s="5" t="n">
        <x:v>32</x:v>
      </x:c>
      <x:c r="G330" s="10" t="n">
        <x:f>IF(COUNTBLANK(E330:F330)&gt;0,"N/A",IF(F330=0,"N/A",E330/F330))</x:f>
        <x:v>0</x:v>
      </x:c>
      <x:c r="H330" s="5" t="str">
        <x:v>Silver</x:v>
      </x:c>
      <x:c r="I330" s="5" t="n">
        <x:v>28</x:v>
      </x:c>
      <x:c r="J330" s="5" t="n">
        <x:v>0</x:v>
      </x:c>
      <x:c r="K330" s="5" t="str">
        <x:v>rate</x:v>
      </x:c>
      <x:c r="L330" s="5" t="str"/>
    </x:row>
    <x:row r="331" ht="20" hidden="0" customHeight="1">
      <x:c r="A331" s="5" t="str">
        <x:v>paired_ablation</x:v>
      </x:c>
      <x:c r="B331" s="5" t="str">
        <x:v>development</x:v>
      </x:c>
      <x:c r="C331" s="5" t="str">
        <x:v>D3_FULL</x:v>
      </x:c>
      <x:c r="D331" s="5" t="str">
        <x:v>technical_mechanism_gold_accuracy</x:v>
      </x:c>
      <x:c r="E331" s="5"/>
      <x:c r="F331" s="5"/>
      <x:c r="G331" s="10" t="str">
        <x:f>IF(COUNTBLANK(E331:F331)&gt;0,"N/A",IF(F331=0,"N/A",E331/F331))</x:f>
        <x:v>N/A</x:v>
      </x:c>
      <x:c r="H331" s="5" t="str">
        <x:v>Gold</x:v>
      </x:c>
      <x:c r="I331" s="5" t="n">
        <x:v>0</x:v>
      </x:c>
      <x:c r="J331" s="5" t="n">
        <x:v>0</x:v>
      </x:c>
      <x:c r="K331" s="5" t="str">
        <x:v>rate</x:v>
      </x:c>
      <x:c r="L331" s="5" t="str">
        <x:v>N/A: zero independent human Gold labels; AI must not be promoted to human truth</x:v>
      </x:c>
    </x:row>
    <x:row r="332" ht="20" hidden="0" customHeight="1">
      <x:c r="A332" s="5" t="str">
        <x:v>paired_ablation</x:v>
      </x:c>
      <x:c r="B332" s="5" t="str">
        <x:v>development</x:v>
      </x:c>
      <x:c r="C332" s="5" t="str">
        <x:v>D3_FULL</x:v>
      </x:c>
      <x:c r="D332" s="5" t="str">
        <x:v>materials_gold_accuracy</x:v>
      </x:c>
      <x:c r="E332" s="5"/>
      <x:c r="F332" s="5"/>
      <x:c r="G332" s="10" t="str">
        <x:f>IF(COUNTBLANK(E332:F332)&gt;0,"N/A",IF(F332=0,"N/A",E332/F332))</x:f>
        <x:v>N/A</x:v>
      </x:c>
      <x:c r="H332" s="5" t="str">
        <x:v>Gold</x:v>
      </x:c>
      <x:c r="I332" s="5" t="n">
        <x:v>0</x:v>
      </x:c>
      <x:c r="J332" s="5" t="n">
        <x:v>0</x:v>
      </x:c>
      <x:c r="K332" s="5" t="str">
        <x:v>rate</x:v>
      </x:c>
      <x:c r="L332" s="5" t="str">
        <x:v>N/A: zero independent human Gold labels; AI must not be promoted to human truth</x:v>
      </x:c>
    </x:row>
    <x:row r="333" ht="20" hidden="0" customHeight="1">
      <x:c r="A333" s="5" t="str">
        <x:v>paired_ablation</x:v>
      </x:c>
      <x:c r="B333" s="5" t="str">
        <x:v>development</x:v>
      </x:c>
      <x:c r="C333" s="5" t="str">
        <x:v>D3_FULL</x:v>
      </x:c>
      <x:c r="D333" s="5" t="str">
        <x:v>process_method_gold_accuracy</x:v>
      </x:c>
      <x:c r="E333" s="5"/>
      <x:c r="F333" s="5"/>
      <x:c r="G333" s="10" t="str">
        <x:f>IF(COUNTBLANK(E333:F333)&gt;0,"N/A",IF(F333=0,"N/A",E333/F333))</x:f>
        <x:v>N/A</x:v>
      </x:c>
      <x:c r="H333" s="5" t="str">
        <x:v>Gold</x:v>
      </x:c>
      <x:c r="I333" s="5" t="n">
        <x:v>0</x:v>
      </x:c>
      <x:c r="J333" s="5" t="n">
        <x:v>0</x:v>
      </x:c>
      <x:c r="K333" s="5" t="str">
        <x:v>rate</x:v>
      </x:c>
      <x:c r="L333" s="5" t="str">
        <x:v>N/A: zero independent human Gold labels; AI must not be promoted to human truth</x:v>
      </x:c>
    </x:row>
    <x:row r="334" ht="20" hidden="0" customHeight="1">
      <x:c r="A334" s="5" t="str">
        <x:v>paired_ablation</x:v>
      </x:c>
      <x:c r="B334" s="5" t="str">
        <x:v>development</x:v>
      </x:c>
      <x:c r="C334" s="5" t="str">
        <x:v>D3_FULL</x:v>
      </x:c>
      <x:c r="D334" s="5" t="str">
        <x:v>parameters_gold_accuracy</x:v>
      </x:c>
      <x:c r="E334" s="5"/>
      <x:c r="F334" s="5"/>
      <x:c r="G334" s="10" t="str">
        <x:f>IF(COUNTBLANK(E334:F334)&gt;0,"N/A",IF(F334=0,"N/A",E334/F334))</x:f>
        <x:v>N/A</x:v>
      </x:c>
      <x:c r="H334" s="5" t="str">
        <x:v>Gold</x:v>
      </x:c>
      <x:c r="I334" s="5" t="n">
        <x:v>0</x:v>
      </x:c>
      <x:c r="J334" s="5" t="n">
        <x:v>0</x:v>
      </x:c>
      <x:c r="K334" s="5" t="str">
        <x:v>rate</x:v>
      </x:c>
      <x:c r="L334" s="5" t="str">
        <x:v>N/A: zero independent human Gold labels; AI must not be promoted to human truth</x:v>
      </x:c>
    </x:row>
    <x:row r="335" ht="20" hidden="0" customHeight="1">
      <x:c r="A335" s="5" t="str">
        <x:v>paired_ablation</x:v>
      </x:c>
      <x:c r="B335" s="5" t="str">
        <x:v>development</x:v>
      </x:c>
      <x:c r="C335" s="5" t="str">
        <x:v>D3_FULL</x:v>
      </x:c>
      <x:c r="D335" s="5" t="str">
        <x:v>multiple_contributions_gold_accuracy</x:v>
      </x:c>
      <x:c r="E335" s="5"/>
      <x:c r="F335" s="5"/>
      <x:c r="G335" s="10" t="str">
        <x:f>IF(COUNTBLANK(E335:F335)&gt;0,"N/A",IF(F335=0,"N/A",E335/F335))</x:f>
        <x:v>N/A</x:v>
      </x:c>
      <x:c r="H335" s="5" t="str">
        <x:v>Gold</x:v>
      </x:c>
      <x:c r="I335" s="5" t="n">
        <x:v>0</x:v>
      </x:c>
      <x:c r="J335" s="5" t="n">
        <x:v>0</x:v>
      </x:c>
      <x:c r="K335" s="5" t="str">
        <x:v>rate</x:v>
      </x:c>
      <x:c r="L335" s="5" t="str">
        <x:v>N/A: zero independent human Gold labels; AI must not be promoted to human truth</x:v>
      </x:c>
    </x:row>
    <x:row r="336" ht="20" hidden="0" customHeight="1">
      <x:c r="A336" s="5" t="str">
        <x:v>paired_full</x:v>
      </x:c>
      <x:c r="B336" s="5" t="str">
        <x:v>holdout</x:v>
      </x:c>
      <x:c r="C336" s="5" t="str">
        <x:v>D2_ARCHIVED</x:v>
      </x:c>
      <x:c r="D336" s="5" t="str">
        <x:v>technical_object_correct_rate</x:v>
      </x:c>
      <x:c r="E336" s="5" t="n">
        <x:v>37</x:v>
      </x:c>
      <x:c r="F336" s="5" t="n">
        <x:v>39</x:v>
      </x:c>
      <x:c r="G336" s="10" t="n">
        <x:f>IF(COUNTBLANK(E336:F336)&gt;0,"N/A",IF(F336=0,"N/A",E336/F336))</x:f>
        <x:v>0.9487179487179487</x:v>
      </x:c>
      <x:c r="H336" s="5" t="str">
        <x:v>Silver</x:v>
      </x:c>
      <x:c r="I336" s="5" t="n">
        <x:v>40</x:v>
      </x:c>
      <x:c r="J336" s="5" t="n">
        <x:v>1</x:v>
      </x:c>
      <x:c r="K336" s="5" t="str">
        <x:v>rate</x:v>
      </x:c>
      <x:c r="L336" s="5" t="str">
        <x:v>Correct / {Correct,Partially Correct,Incorrect}; insufficient and uncertain excluded; same-model Silver</x:v>
      </x:c>
    </x:row>
    <x:row r="337" ht="20" hidden="0" customHeight="1">
      <x:c r="A337" s="5" t="str">
        <x:v>paired_full</x:v>
      </x:c>
      <x:c r="B337" s="5" t="str">
        <x:v>holdout</x:v>
      </x:c>
      <x:c r="C337" s="5" t="str">
        <x:v>D2_ARCHIVED</x:v>
      </x:c>
      <x:c r="D337" s="5" t="str">
        <x:v>technical_object_partially_correct_rate</x:v>
      </x:c>
      <x:c r="E337" s="5" t="n">
        <x:v>1</x:v>
      </x:c>
      <x:c r="F337" s="5" t="n">
        <x:v>39</x:v>
      </x:c>
      <x:c r="G337" s="10" t="n">
        <x:f>IF(COUNTBLANK(E337:F337)&gt;0,"N/A",IF(F337=0,"N/A",E337/F337))</x:f>
        <x:v>0.02564102564102564</x:v>
      </x:c>
      <x:c r="H337" s="5" t="str">
        <x:v>Silver</x:v>
      </x:c>
      <x:c r="I337" s="5" t="n">
        <x:v>40</x:v>
      </x:c>
      <x:c r="J337" s="5" t="n">
        <x:v>1</x:v>
      </x:c>
      <x:c r="K337" s="5" t="str">
        <x:v>rate</x:v>
      </x:c>
      <x:c r="L337" s="5" t="str"/>
    </x:row>
    <x:row r="338" ht="20" hidden="0" customHeight="1">
      <x:c r="A338" s="5" t="str">
        <x:v>paired_full</x:v>
      </x:c>
      <x:c r="B338" s="5" t="str">
        <x:v>holdout</x:v>
      </x:c>
      <x:c r="C338" s="5" t="str">
        <x:v>D2_ARCHIVED</x:v>
      </x:c>
      <x:c r="D338" s="5" t="str">
        <x:v>technical_problem_correct_rate</x:v>
      </x:c>
      <x:c r="E338" s="5" t="n">
        <x:v>17</x:v>
      </x:c>
      <x:c r="F338" s="5" t="n">
        <x:v>20</x:v>
      </x:c>
      <x:c r="G338" s="10" t="n">
        <x:f>IF(COUNTBLANK(E338:F338)&gt;0,"N/A",IF(F338=0,"N/A",E338/F338))</x:f>
        <x:v>0.85</x:v>
      </x:c>
      <x:c r="H338" s="5" t="str">
        <x:v>Silver</x:v>
      </x:c>
      <x:c r="I338" s="5" t="n">
        <x:v>40</x:v>
      </x:c>
      <x:c r="J338" s="5" t="n">
        <x:v>20</x:v>
      </x:c>
      <x:c r="K338" s="5" t="str">
        <x:v>rate</x:v>
      </x:c>
      <x:c r="L338" s="5" t="str">
        <x:v>Correct / {Correct,Partially Correct,Incorrect}; insufficient and uncertain excluded; same-model Silver</x:v>
      </x:c>
    </x:row>
    <x:row r="339" ht="20" hidden="0" customHeight="1">
      <x:c r="A339" s="5" t="str">
        <x:v>paired_full</x:v>
      </x:c>
      <x:c r="B339" s="5" t="str">
        <x:v>holdout</x:v>
      </x:c>
      <x:c r="C339" s="5" t="str">
        <x:v>D2_ARCHIVED</x:v>
      </x:c>
      <x:c r="D339" s="5" t="str">
        <x:v>technical_problem_partially_correct_rate</x:v>
      </x:c>
      <x:c r="E339" s="5" t="n">
        <x:v>3</x:v>
      </x:c>
      <x:c r="F339" s="5" t="n">
        <x:v>20</x:v>
      </x:c>
      <x:c r="G339" s="10" t="n">
        <x:f>IF(COUNTBLANK(E339:F339)&gt;0,"N/A",IF(F339=0,"N/A",E339/F339))</x:f>
        <x:v>0.15</x:v>
      </x:c>
      <x:c r="H339" s="5" t="str">
        <x:v>Silver</x:v>
      </x:c>
      <x:c r="I339" s="5" t="n">
        <x:v>40</x:v>
      </x:c>
      <x:c r="J339" s="5" t="n">
        <x:v>20</x:v>
      </x:c>
      <x:c r="K339" s="5" t="str">
        <x:v>rate</x:v>
      </x:c>
      <x:c r="L339" s="5" t="str"/>
    </x:row>
    <x:row r="340" ht="20" hidden="0" customHeight="1">
      <x:c r="A340" s="5" t="str">
        <x:v>paired_full</x:v>
      </x:c>
      <x:c r="B340" s="5" t="str">
        <x:v>holdout</x:v>
      </x:c>
      <x:c r="C340" s="5" t="str">
        <x:v>D2_ARCHIVED</x:v>
      </x:c>
      <x:c r="D340" s="5" t="str">
        <x:v>technical_mechanism_correct_rate</x:v>
      </x:c>
      <x:c r="E340" s="5" t="n">
        <x:v>18</x:v>
      </x:c>
      <x:c r="F340" s="5" t="n">
        <x:v>25</x:v>
      </x:c>
      <x:c r="G340" s="10" t="n">
        <x:f>IF(COUNTBLANK(E340:F340)&gt;0,"N/A",IF(F340=0,"N/A",E340/F340))</x:f>
        <x:v>0.72</x:v>
      </x:c>
      <x:c r="H340" s="5" t="str">
        <x:v>Silver</x:v>
      </x:c>
      <x:c r="I340" s="5" t="n">
        <x:v>40</x:v>
      </x:c>
      <x:c r="J340" s="5" t="n">
        <x:v>15</x:v>
      </x:c>
      <x:c r="K340" s="5" t="str">
        <x:v>rate</x:v>
      </x:c>
      <x:c r="L340" s="5" t="str">
        <x:v>Correct / {Correct,Partially Correct,Incorrect}; insufficient and uncertain excluded; same-model Silver</x:v>
      </x:c>
    </x:row>
    <x:row r="341" ht="20" hidden="0" customHeight="1">
      <x:c r="A341" s="5" t="str">
        <x:v>paired_full</x:v>
      </x:c>
      <x:c r="B341" s="5" t="str">
        <x:v>holdout</x:v>
      </x:c>
      <x:c r="C341" s="5" t="str">
        <x:v>D2_ARCHIVED</x:v>
      </x:c>
      <x:c r="D341" s="5" t="str">
        <x:v>technical_mechanism_partially_correct_rate</x:v>
      </x:c>
      <x:c r="E341" s="5" t="n">
        <x:v>7</x:v>
      </x:c>
      <x:c r="F341" s="5" t="n">
        <x:v>25</x:v>
      </x:c>
      <x:c r="G341" s="10" t="n">
        <x:f>IF(COUNTBLANK(E341:F341)&gt;0,"N/A",IF(F341=0,"N/A",E341/F341))</x:f>
        <x:v>0.28</x:v>
      </x:c>
      <x:c r="H341" s="5" t="str">
        <x:v>Silver</x:v>
      </x:c>
      <x:c r="I341" s="5" t="n">
        <x:v>40</x:v>
      </x:c>
      <x:c r="J341" s="5" t="n">
        <x:v>15</x:v>
      </x:c>
      <x:c r="K341" s="5" t="str">
        <x:v>rate</x:v>
      </x:c>
      <x:c r="L341" s="5" t="str"/>
    </x:row>
    <x:row r="342" ht="20" hidden="0" customHeight="1">
      <x:c r="A342" s="5" t="str">
        <x:v>paired_full</x:v>
      </x:c>
      <x:c r="B342" s="5" t="str">
        <x:v>holdout</x:v>
      </x:c>
      <x:c r="C342" s="5" t="str">
        <x:v>D2_ARCHIVED</x:v>
      </x:c>
      <x:c r="D342" s="5" t="str">
        <x:v>materials_correct_rate</x:v>
      </x:c>
      <x:c r="E342" s="5" t="n">
        <x:v>4</x:v>
      </x:c>
      <x:c r="F342" s="5" t="n">
        <x:v>12</x:v>
      </x:c>
      <x:c r="G342" s="10" t="n">
        <x:f>IF(COUNTBLANK(E342:F342)&gt;0,"N/A",IF(F342=0,"N/A",E342/F342))</x:f>
        <x:v>0.3333333333333333</x:v>
      </x:c>
      <x:c r="H342" s="5" t="str">
        <x:v>Silver</x:v>
      </x:c>
      <x:c r="I342" s="5" t="n">
        <x:v>40</x:v>
      </x:c>
      <x:c r="J342" s="5" t="n">
        <x:v>28</x:v>
      </x:c>
      <x:c r="K342" s="5" t="str">
        <x:v>rate</x:v>
      </x:c>
      <x:c r="L342" s="5" t="str">
        <x:v>Correct / {Correct,Partially Correct,Incorrect}; insufficient and uncertain excluded; same-model Silver</x:v>
      </x:c>
    </x:row>
    <x:row r="343" ht="20" hidden="0" customHeight="1">
      <x:c r="A343" s="5" t="str">
        <x:v>paired_full</x:v>
      </x:c>
      <x:c r="B343" s="5" t="str">
        <x:v>holdout</x:v>
      </x:c>
      <x:c r="C343" s="5" t="str">
        <x:v>D2_ARCHIVED</x:v>
      </x:c>
      <x:c r="D343" s="5" t="str">
        <x:v>materials_partially_correct_rate</x:v>
      </x:c>
      <x:c r="E343" s="5" t="n">
        <x:v>8</x:v>
      </x:c>
      <x:c r="F343" s="5" t="n">
        <x:v>12</x:v>
      </x:c>
      <x:c r="G343" s="10" t="n">
        <x:f>IF(COUNTBLANK(E343:F343)&gt;0,"N/A",IF(F343=0,"N/A",E343/F343))</x:f>
        <x:v>0.6666666666666666</x:v>
      </x:c>
      <x:c r="H343" s="5" t="str">
        <x:v>Silver</x:v>
      </x:c>
      <x:c r="I343" s="5" t="n">
        <x:v>40</x:v>
      </x:c>
      <x:c r="J343" s="5" t="n">
        <x:v>28</x:v>
      </x:c>
      <x:c r="K343" s="5" t="str">
        <x:v>rate</x:v>
      </x:c>
      <x:c r="L343" s="5" t="str"/>
    </x:row>
    <x:row r="344" ht="20" hidden="0" customHeight="1">
      <x:c r="A344" s="5" t="str">
        <x:v>paired_full</x:v>
      </x:c>
      <x:c r="B344" s="5" t="str">
        <x:v>holdout</x:v>
      </x:c>
      <x:c r="C344" s="5" t="str">
        <x:v>D2_ARCHIVED</x:v>
      </x:c>
      <x:c r="D344" s="5" t="str">
        <x:v>process_method_correct_rate</x:v>
      </x:c>
      <x:c r="E344" s="5" t="n">
        <x:v>10</x:v>
      </x:c>
      <x:c r="F344" s="5" t="n">
        <x:v>12</x:v>
      </x:c>
      <x:c r="G344" s="10" t="n">
        <x:f>IF(COUNTBLANK(E344:F344)&gt;0,"N/A",IF(F344=0,"N/A",E344/F344))</x:f>
        <x:v>0.8333333333333334</x:v>
      </x:c>
      <x:c r="H344" s="5" t="str">
        <x:v>Silver</x:v>
      </x:c>
      <x:c r="I344" s="5" t="n">
        <x:v>40</x:v>
      </x:c>
      <x:c r="J344" s="5" t="n">
        <x:v>28</x:v>
      </x:c>
      <x:c r="K344" s="5" t="str">
        <x:v>rate</x:v>
      </x:c>
      <x:c r="L344" s="5" t="str">
        <x:v>Correct / {Correct,Partially Correct,Incorrect}; insufficient and uncertain excluded; same-model Silver</x:v>
      </x:c>
    </x:row>
    <x:row r="345" ht="20" hidden="0" customHeight="1">
      <x:c r="A345" s="5" t="str">
        <x:v>paired_full</x:v>
      </x:c>
      <x:c r="B345" s="5" t="str">
        <x:v>holdout</x:v>
      </x:c>
      <x:c r="C345" s="5" t="str">
        <x:v>D2_ARCHIVED</x:v>
      </x:c>
      <x:c r="D345" s="5" t="str">
        <x:v>process_method_partially_correct_rate</x:v>
      </x:c>
      <x:c r="E345" s="5" t="n">
        <x:v>2</x:v>
      </x:c>
      <x:c r="F345" s="5" t="n">
        <x:v>12</x:v>
      </x:c>
      <x:c r="G345" s="10" t="n">
        <x:f>IF(COUNTBLANK(E345:F345)&gt;0,"N/A",IF(F345=0,"N/A",E345/F345))</x:f>
        <x:v>0.16666666666666666</x:v>
      </x:c>
      <x:c r="H345" s="5" t="str">
        <x:v>Silver</x:v>
      </x:c>
      <x:c r="I345" s="5" t="n">
        <x:v>40</x:v>
      </x:c>
      <x:c r="J345" s="5" t="n">
        <x:v>28</x:v>
      </x:c>
      <x:c r="K345" s="5" t="str">
        <x:v>rate</x:v>
      </x:c>
      <x:c r="L345" s="5" t="str"/>
    </x:row>
    <x:row r="346" ht="20" hidden="0" customHeight="1">
      <x:c r="A346" s="5" t="str">
        <x:v>paired_full</x:v>
      </x:c>
      <x:c r="B346" s="5" t="str">
        <x:v>holdout</x:v>
      </x:c>
      <x:c r="C346" s="5" t="str">
        <x:v>D2_ARCHIVED</x:v>
      </x:c>
      <x:c r="D346" s="5" t="str">
        <x:v>process_order_correct_rate</x:v>
      </x:c>
      <x:c r="E346" s="5" t="n">
        <x:v>3</x:v>
      </x:c>
      <x:c r="F346" s="5" t="n">
        <x:v>5</x:v>
      </x:c>
      <x:c r="G346" s="10" t="n">
        <x:f>IF(COUNTBLANK(E346:F346)&gt;0,"N/A",IF(F346=0,"N/A",E346/F346))</x:f>
        <x:v>0.6</x:v>
      </x:c>
      <x:c r="H346" s="5" t="str">
        <x:v>Silver</x:v>
      </x:c>
      <x:c r="I346" s="5" t="n">
        <x:v>40</x:v>
      </x:c>
      <x:c r="J346" s="5" t="n">
        <x:v>35</x:v>
      </x:c>
      <x:c r="K346" s="5" t="str">
        <x:v>rate</x:v>
      </x:c>
      <x:c r="L346" s="5" t="str">
        <x:v>Correct / {Correct,Partially Correct,Incorrect}; insufficient and uncertain excluded; same-model Silver</x:v>
      </x:c>
    </x:row>
    <x:row r="347" ht="20" hidden="0" customHeight="1">
      <x:c r="A347" s="5" t="str">
        <x:v>paired_full</x:v>
      </x:c>
      <x:c r="B347" s="5" t="str">
        <x:v>holdout</x:v>
      </x:c>
      <x:c r="C347" s="5" t="str">
        <x:v>D2_ARCHIVED</x:v>
      </x:c>
      <x:c r="D347" s="5" t="str">
        <x:v>process_order_partially_correct_rate</x:v>
      </x:c>
      <x:c r="E347" s="5" t="n">
        <x:v>2</x:v>
      </x:c>
      <x:c r="F347" s="5" t="n">
        <x:v>5</x:v>
      </x:c>
      <x:c r="G347" s="10" t="n">
        <x:f>IF(COUNTBLANK(E347:F347)&gt;0,"N/A",IF(F347=0,"N/A",E347/F347))</x:f>
        <x:v>0.4</x:v>
      </x:c>
      <x:c r="H347" s="5" t="str">
        <x:v>Silver</x:v>
      </x:c>
      <x:c r="I347" s="5" t="n">
        <x:v>40</x:v>
      </x:c>
      <x:c r="J347" s="5" t="n">
        <x:v>35</x:v>
      </x:c>
      <x:c r="K347" s="5" t="str">
        <x:v>rate</x:v>
      </x:c>
      <x:c r="L347" s="5" t="str"/>
    </x:row>
    <x:row r="348" ht="20" hidden="0" customHeight="1">
      <x:c r="A348" s="5" t="str">
        <x:v>paired_full</x:v>
      </x:c>
      <x:c r="B348" s="5" t="str">
        <x:v>holdout</x:v>
      </x:c>
      <x:c r="C348" s="5" t="str">
        <x:v>D2_ARCHIVED</x:v>
      </x:c>
      <x:c r="D348" s="5" t="str">
        <x:v>parameters_correct_rate</x:v>
      </x:c>
      <x:c r="E348" s="5" t="n">
        <x:v>4</x:v>
      </x:c>
      <x:c r="F348" s="5" t="n">
        <x:v>6</x:v>
      </x:c>
      <x:c r="G348" s="10" t="n">
        <x:f>IF(COUNTBLANK(E348:F348)&gt;0,"N/A",IF(F348=0,"N/A",E348/F348))</x:f>
        <x:v>0.6666666666666666</x:v>
      </x:c>
      <x:c r="H348" s="5" t="str">
        <x:v>Silver</x:v>
      </x:c>
      <x:c r="I348" s="5" t="n">
        <x:v>40</x:v>
      </x:c>
      <x:c r="J348" s="5" t="n">
        <x:v>34</x:v>
      </x:c>
      <x:c r="K348" s="5" t="str">
        <x:v>rate</x:v>
      </x:c>
      <x:c r="L348" s="5" t="str">
        <x:v>Correct / {Correct,Partially Correct,Incorrect}; insufficient and uncertain excluded; same-model Silver</x:v>
      </x:c>
    </x:row>
    <x:row r="349" ht="20" hidden="0" customHeight="1">
      <x:c r="A349" s="5" t="str">
        <x:v>paired_full</x:v>
      </x:c>
      <x:c r="B349" s="5" t="str">
        <x:v>holdout</x:v>
      </x:c>
      <x:c r="C349" s="5" t="str">
        <x:v>D2_ARCHIVED</x:v>
      </x:c>
      <x:c r="D349" s="5" t="str">
        <x:v>parameters_partially_correct_rate</x:v>
      </x:c>
      <x:c r="E349" s="5" t="n">
        <x:v>2</x:v>
      </x:c>
      <x:c r="F349" s="5" t="n">
        <x:v>6</x:v>
      </x:c>
      <x:c r="G349" s="10" t="n">
        <x:f>IF(COUNTBLANK(E349:F349)&gt;0,"N/A",IF(F349=0,"N/A",E349/F349))</x:f>
        <x:v>0.3333333333333333</x:v>
      </x:c>
      <x:c r="H349" s="5" t="str">
        <x:v>Silver</x:v>
      </x:c>
      <x:c r="I349" s="5" t="n">
        <x:v>40</x:v>
      </x:c>
      <x:c r="J349" s="5" t="n">
        <x:v>34</x:v>
      </x:c>
      <x:c r="K349" s="5" t="str">
        <x:v>rate</x:v>
      </x:c>
      <x:c r="L349" s="5" t="str"/>
    </x:row>
    <x:row r="350" ht="20" hidden="0" customHeight="1">
      <x:c r="A350" s="5" t="str">
        <x:v>paired_full</x:v>
      </x:c>
      <x:c r="B350" s="5" t="str">
        <x:v>holdout</x:v>
      </x:c>
      <x:c r="C350" s="5" t="str">
        <x:v>D2_ARCHIVED</x:v>
      </x:c>
      <x:c r="D350" s="5" t="str">
        <x:v>effects_correct_rate</x:v>
      </x:c>
      <x:c r="E350" s="5" t="n">
        <x:v>19</x:v>
      </x:c>
      <x:c r="F350" s="5" t="n">
        <x:v>20</x:v>
      </x:c>
      <x:c r="G350" s="10" t="n">
        <x:f>IF(COUNTBLANK(E350:F350)&gt;0,"N/A",IF(F350=0,"N/A",E350/F350))</x:f>
        <x:v>0.95</x:v>
      </x:c>
      <x:c r="H350" s="5" t="str">
        <x:v>Silver</x:v>
      </x:c>
      <x:c r="I350" s="5" t="n">
        <x:v>40</x:v>
      </x:c>
      <x:c r="J350" s="5" t="n">
        <x:v>20</x:v>
      </x:c>
      <x:c r="K350" s="5" t="str">
        <x:v>rate</x:v>
      </x:c>
      <x:c r="L350" s="5" t="str">
        <x:v>Correct / {Correct,Partially Correct,Incorrect}; insufficient and uncertain excluded; same-model Silver</x:v>
      </x:c>
    </x:row>
    <x:row r="351" ht="20" hidden="0" customHeight="1">
      <x:c r="A351" s="5" t="str">
        <x:v>paired_full</x:v>
      </x:c>
      <x:c r="B351" s="5" t="str">
        <x:v>holdout</x:v>
      </x:c>
      <x:c r="C351" s="5" t="str">
        <x:v>D2_ARCHIVED</x:v>
      </x:c>
      <x:c r="D351" s="5" t="str">
        <x:v>effects_partially_correct_rate</x:v>
      </x:c>
      <x:c r="E351" s="5" t="n">
        <x:v>1</x:v>
      </x:c>
      <x:c r="F351" s="5" t="n">
        <x:v>20</x:v>
      </x:c>
      <x:c r="G351" s="10" t="n">
        <x:f>IF(COUNTBLANK(E351:F351)&gt;0,"N/A",IF(F351=0,"N/A",E351/F351))</x:f>
        <x:v>0.05</x:v>
      </x:c>
      <x:c r="H351" s="5" t="str">
        <x:v>Silver</x:v>
      </x:c>
      <x:c r="I351" s="5" t="n">
        <x:v>40</x:v>
      </x:c>
      <x:c r="J351" s="5" t="n">
        <x:v>20</x:v>
      </x:c>
      <x:c r="K351" s="5" t="str">
        <x:v>rate</x:v>
      </x:c>
      <x:c r="L351" s="5" t="str"/>
    </x:row>
    <x:row r="352" ht="20" hidden="0" customHeight="1">
      <x:c r="A352" s="5" t="str">
        <x:v>paired_full</x:v>
      </x:c>
      <x:c r="B352" s="5" t="str">
        <x:v>holdout</x:v>
      </x:c>
      <x:c r="C352" s="5" t="str">
        <x:v>D2_ARCHIVED</x:v>
      </x:c>
      <x:c r="D352" s="5" t="str">
        <x:v>multiple_contributions_correct_rate</x:v>
      </x:c>
      <x:c r="E352" s="5" t="n">
        <x:v>20</x:v>
      </x:c>
      <x:c r="F352" s="5" t="n">
        <x:v>31</x:v>
      </x:c>
      <x:c r="G352" s="10" t="n">
        <x:f>IF(COUNTBLANK(E352:F352)&gt;0,"N/A",IF(F352=0,"N/A",E352/F352))</x:f>
        <x:v>0.6451612903225806</x:v>
      </x:c>
      <x:c r="H352" s="5" t="str">
        <x:v>Silver</x:v>
      </x:c>
      <x:c r="I352" s="5" t="n">
        <x:v>40</x:v>
      </x:c>
      <x:c r="J352" s="5" t="n">
        <x:v>9</x:v>
      </x:c>
      <x:c r="K352" s="5" t="str">
        <x:v>rate</x:v>
      </x:c>
      <x:c r="L352" s="5" t="str">
        <x:v>Correct / {Correct,Partially Correct,Incorrect}; insufficient and uncertain excluded; same-model Silver</x:v>
      </x:c>
    </x:row>
    <x:row r="353" ht="20" hidden="0" customHeight="1">
      <x:c r="A353" s="5" t="str">
        <x:v>paired_full</x:v>
      </x:c>
      <x:c r="B353" s="5" t="str">
        <x:v>holdout</x:v>
      </x:c>
      <x:c r="C353" s="5" t="str">
        <x:v>D2_ARCHIVED</x:v>
      </x:c>
      <x:c r="D353" s="5" t="str">
        <x:v>multiple_contributions_partially_correct_rate</x:v>
      </x:c>
      <x:c r="E353" s="5" t="n">
        <x:v>7</x:v>
      </x:c>
      <x:c r="F353" s="5" t="n">
        <x:v>31</x:v>
      </x:c>
      <x:c r="G353" s="10" t="n">
        <x:f>IF(COUNTBLANK(E353:F353)&gt;0,"N/A",IF(F353=0,"N/A",E353/F353))</x:f>
        <x:v>0.22580645161290322</x:v>
      </x:c>
      <x:c r="H353" s="5" t="str">
        <x:v>Silver</x:v>
      </x:c>
      <x:c r="I353" s="5" t="n">
        <x:v>40</x:v>
      </x:c>
      <x:c r="J353" s="5" t="n">
        <x:v>9</x:v>
      </x:c>
      <x:c r="K353" s="5" t="str">
        <x:v>rate</x:v>
      </x:c>
      <x:c r="L353" s="5" t="str"/>
    </x:row>
    <x:row r="354" ht="20" hidden="0" customHeight="1">
      <x:c r="A354" s="5" t="str">
        <x:v>paired_full</x:v>
      </x:c>
      <x:c r="B354" s="5" t="str">
        <x:v>holdout</x:v>
      </x:c>
      <x:c r="C354" s="5" t="str">
        <x:v>D2_ARCHIVED</x:v>
      </x:c>
      <x:c r="D354" s="5" t="str">
        <x:v>hallucination_correct_rate</x:v>
      </x:c>
      <x:c r="E354" s="5" t="n">
        <x:v>36</x:v>
      </x:c>
      <x:c r="F354" s="5" t="n">
        <x:v>40</x:v>
      </x:c>
      <x:c r="G354" s="10" t="n">
        <x:f>IF(COUNTBLANK(E354:F354)&gt;0,"N/A",IF(F354=0,"N/A",E354/F354))</x:f>
        <x:v>0.9</x:v>
      </x:c>
      <x:c r="H354" s="5" t="str">
        <x:v>Silver</x:v>
      </x:c>
      <x:c r="I354" s="5" t="n">
        <x:v>40</x:v>
      </x:c>
      <x:c r="J354" s="5" t="n">
        <x:v>0</x:v>
      </x:c>
      <x:c r="K354" s="5" t="str">
        <x:v>rate</x:v>
      </x:c>
      <x:c r="L354" s="5" t="str">
        <x:v>Correct / {Correct,Partially Correct,Incorrect}; insufficient and uncertain excluded; same-model Silver</x:v>
      </x:c>
    </x:row>
    <x:row r="355" ht="20" hidden="0" customHeight="1">
      <x:c r="A355" s="5" t="str">
        <x:v>paired_full</x:v>
      </x:c>
      <x:c r="B355" s="5" t="str">
        <x:v>holdout</x:v>
      </x:c>
      <x:c r="C355" s="5" t="str">
        <x:v>D2_ARCHIVED</x:v>
      </x:c>
      <x:c r="D355" s="5" t="str">
        <x:v>hallucination_partially_correct_rate</x:v>
      </x:c>
      <x:c r="E355" s="5" t="n">
        <x:v>3</x:v>
      </x:c>
      <x:c r="F355" s="5" t="n">
        <x:v>40</x:v>
      </x:c>
      <x:c r="G355" s="10" t="n">
        <x:f>IF(COUNTBLANK(E355:F355)&gt;0,"N/A",IF(F355=0,"N/A",E355/F355))</x:f>
        <x:v>0.075</x:v>
      </x:c>
      <x:c r="H355" s="5" t="str">
        <x:v>Silver</x:v>
      </x:c>
      <x:c r="I355" s="5" t="n">
        <x:v>40</x:v>
      </x:c>
      <x:c r="J355" s="5" t="n">
        <x:v>0</x:v>
      </x:c>
      <x:c r="K355" s="5" t="str">
        <x:v>rate</x:v>
      </x:c>
      <x:c r="L355" s="5" t="str"/>
    </x:row>
    <x:row r="356" ht="31" hidden="0" customHeight="1">
      <x:c r="A356" s="5" t="str">
        <x:v>paired_full</x:v>
      </x:c>
      <x:c r="B356" s="5" t="str">
        <x:v>holdout</x:v>
      </x:c>
      <x:c r="C356" s="5" t="str">
        <x:v>D2_ARCHIVED</x:v>
      </x:c>
      <x:c r="D356" s="5" t="str">
        <x:v>contribution_coverage</x:v>
      </x:c>
      <x:c r="E356" s="5" t="n">
        <x:v>31</x:v>
      </x:c>
      <x:c r="F356" s="5" t="n">
        <x:v>38</x:v>
      </x:c>
      <x:c r="G356" s="10" t="n">
        <x:f>IF(COUNTBLANK(E356:F356)&gt;0,"N/A",IF(F356=0,"N/A",E356/F356))</x:f>
        <x:v>0.8157894736842105</x:v>
      </x:c>
      <x:c r="H356" s="5" t="str">
        <x:v>Silver</x:v>
      </x:c>
      <x:c r="I356" s="5" t="n">
        <x:v>40</x:v>
      </x:c>
      <x:c r="J356" s="5" t="n">
        <x:v>8</x:v>
      </x:c>
      <x:c r="K356" s="5" t="str">
        <x:v>rate</x:v>
      </x:c>
      <x:c r="L356" s="5" t="str">
        <x:v>Source-reference denominators required consistent across matched configs; disagreements/zero applicability excluded</x:v>
      </x:c>
    </x:row>
    <x:row r="357" ht="31" hidden="0" customHeight="1">
      <x:c r="A357" s="5" t="str">
        <x:v>paired_full</x:v>
      </x:c>
      <x:c r="B357" s="5" t="str">
        <x:v>holdout</x:v>
      </x:c>
      <x:c r="C357" s="5" t="str">
        <x:v>D2_ARCHIVED</x:v>
      </x:c>
      <x:c r="D357" s="5" t="str">
        <x:v>material_retention</x:v>
      </x:c>
      <x:c r="E357" s="5" t="n">
        <x:v>28</x:v>
      </x:c>
      <x:c r="F357" s="5" t="n">
        <x:v>38</x:v>
      </x:c>
      <x:c r="G357" s="10" t="n">
        <x:f>IF(COUNTBLANK(E357:F357)&gt;0,"N/A",IF(F357=0,"N/A",E357/F357))</x:f>
        <x:v>0.7368421052631579</x:v>
      </x:c>
      <x:c r="H357" s="5" t="str">
        <x:v>Silver</x:v>
      </x:c>
      <x:c r="I357" s="5" t="n">
        <x:v>40</x:v>
      </x:c>
      <x:c r="J357" s="5" t="n">
        <x:v>26</x:v>
      </x:c>
      <x:c r="K357" s="5" t="str">
        <x:v>rate</x:v>
      </x:c>
      <x:c r="L357" s="5" t="str">
        <x:v>Source-reference denominators required consistent across matched configs; disagreements/zero applicability excluded</x:v>
      </x:c>
    </x:row>
    <x:row r="358" ht="31" hidden="0" customHeight="1">
      <x:c r="A358" s="5" t="str">
        <x:v>paired_full</x:v>
      </x:c>
      <x:c r="B358" s="5" t="str">
        <x:v>holdout</x:v>
      </x:c>
      <x:c r="C358" s="5" t="str">
        <x:v>D2_ARCHIVED</x:v>
      </x:c>
      <x:c r="D358" s="5" t="str">
        <x:v>process_retention</x:v>
      </x:c>
      <x:c r="E358" s="5" t="n">
        <x:v>38</x:v>
      </x:c>
      <x:c r="F358" s="5" t="n">
        <x:v>53</x:v>
      </x:c>
      <x:c r="G358" s="10" t="n">
        <x:f>IF(COUNTBLANK(E358:F358)&gt;0,"N/A",IF(F358=0,"N/A",E358/F358))</x:f>
        <x:v>0.7169811320754716</x:v>
      </x:c>
      <x:c r="H358" s="5" t="str">
        <x:v>Silver</x:v>
      </x:c>
      <x:c r="I358" s="5" t="n">
        <x:v>40</x:v>
      </x:c>
      <x:c r="J358" s="5" t="n">
        <x:v>25</x:v>
      </x:c>
      <x:c r="K358" s="5" t="str">
        <x:v>rate</x:v>
      </x:c>
      <x:c r="L358" s="5" t="str">
        <x:v>Source-reference denominators required consistent across matched configs; disagreements/zero applicability excluded</x:v>
      </x:c>
    </x:row>
    <x:row r="359" ht="20" hidden="0" customHeight="1">
      <x:c r="A359" s="5" t="str">
        <x:v>paired_full</x:v>
      </x:c>
      <x:c r="B359" s="5" t="str">
        <x:v>holdout</x:v>
      </x:c>
      <x:c r="C359" s="5" t="str">
        <x:v>D2_ARCHIVED</x:v>
      </x:c>
      <x:c r="D359" s="5" t="str">
        <x:v>multi_contribution_omission_rate</x:v>
      </x:c>
      <x:c r="E359" s="5" t="n">
        <x:v>4</x:v>
      </x:c>
      <x:c r="F359" s="5" t="n">
        <x:v>4</x:v>
      </x:c>
      <x:c r="G359" s="10" t="n">
        <x:f>IF(COUNTBLANK(E359:F359)&gt;0,"N/A",IF(F359=0,"N/A",E359/F359))</x:f>
        <x:v>1</x:v>
      </x:c>
      <x:c r="H359" s="5" t="str">
        <x:v>Silver</x:v>
      </x:c>
      <x:c r="I359" s="5" t="n">
        <x:v>40</x:v>
      </x:c>
      <x:c r="J359" s="5" t="n">
        <x:v>36</x:v>
      </x:c>
      <x:c r="K359" s="5" t="str">
        <x:v>rate</x:v>
      </x:c>
      <x:c r="L359" s="5" t="str"/>
    </x:row>
    <x:row r="360" ht="20" hidden="0" customHeight="1">
      <x:c r="A360" s="5" t="str">
        <x:v>paired_full</x:v>
      </x:c>
      <x:c r="B360" s="5" t="str">
        <x:v>holdout</x:v>
      </x:c>
      <x:c r="C360" s="5" t="str">
        <x:v>D2_ARCHIVED</x:v>
      </x:c>
      <x:c r="D360" s="5" t="str">
        <x:v>full_conclusion_support_rate</x:v>
      </x:c>
      <x:c r="E360" s="5" t="n">
        <x:v>18</x:v>
      </x:c>
      <x:c r="F360" s="5" t="n">
        <x:v>31</x:v>
      </x:c>
      <x:c r="G360" s="10" t="n">
        <x:f>IF(COUNTBLANK(E360:F360)&gt;0,"N/A",IF(F360=0,"N/A",E360/F360))</x:f>
        <x:v>0.5806451612903226</x:v>
      </x:c>
      <x:c r="H360" s="5" t="str">
        <x:v>Silver</x:v>
      </x:c>
      <x:c r="I360" s="5" t="n">
        <x:v>40</x:v>
      </x:c>
      <x:c r="J360" s="5" t="n">
        <x:v>9</x:v>
      </x:c>
      <x:c r="K360" s="5" t="str">
        <x:v>rate</x:v>
      </x:c>
      <x:c r="L360" s="5" t="str"/>
    </x:row>
    <x:row r="361" ht="20" hidden="0" customHeight="1">
      <x:c r="A361" s="5" t="str">
        <x:v>paired_full</x:v>
      </x:c>
      <x:c r="B361" s="5" t="str">
        <x:v>holdout</x:v>
      </x:c>
      <x:c r="C361" s="5" t="str">
        <x:v>D2_ARCHIVED</x:v>
      </x:c>
      <x:c r="D361" s="5" t="str">
        <x:v>mean_contributions_per_family</x:v>
      </x:c>
      <x:c r="E361" s="5" t="n">
        <x:v>25</x:v>
      </x:c>
      <x:c r="F361" s="5" t="n">
        <x:v>40</x:v>
      </x:c>
      <x:c r="G361" s="11" t="n">
        <x:f>IF(COUNTBLANK(E361:F361)&gt;0,"N/A",IF(F361=0,"N/A",E361/F361))</x:f>
        <x:v>0.625</x:v>
      </x:c>
      <x:c r="H361" s="5" t="str">
        <x:v>Silver</x:v>
      </x:c>
      <x:c r="I361" s="5" t="n">
        <x:v>40</x:v>
      </x:c>
      <x:c r="J361" s="5" t="n">
        <x:v>0</x:v>
      </x:c>
      <x:c r="K361" s="5" t="str">
        <x:v>contributions/family</x:v>
      </x:c>
      <x:c r="L361" s="5" t="str"/>
    </x:row>
    <x:row r="362" ht="20" hidden="0" customHeight="1">
      <x:c r="A362" s="5" t="str">
        <x:v>paired_full</x:v>
      </x:c>
      <x:c r="B362" s="5" t="str">
        <x:v>holdout</x:v>
      </x:c>
      <x:c r="C362" s="5" t="str">
        <x:v>D2_ARCHIVED</x:v>
      </x:c>
      <x:c r="D362" s="5" t="str">
        <x:v>oversplit_contribution_rate</x:v>
      </x:c>
      <x:c r="E362" s="5" t="n">
        <x:v>0</x:v>
      </x:c>
      <x:c r="F362" s="5" t="n">
        <x:v>25</x:v>
      </x:c>
      <x:c r="G362" s="10" t="n">
        <x:f>IF(COUNTBLANK(E362:F362)&gt;0,"N/A",IF(F362=0,"N/A",E362/F362))</x:f>
        <x:v>0</x:v>
      </x:c>
      <x:c r="H362" s="5" t="str">
        <x:v>Silver</x:v>
      </x:c>
      <x:c r="I362" s="5" t="n">
        <x:v>40</x:v>
      </x:c>
      <x:c r="J362" s="5" t="n">
        <x:v>0</x:v>
      </x:c>
      <x:c r="K362" s="5" t="str">
        <x:v>rate</x:v>
      </x:c>
      <x:c r="L362" s="5" t="str">
        <x:v>Auditor oversplit units / actual explicit output units; not a human error rate</x:v>
      </x:c>
    </x:row>
    <x:row r="363" ht="20" hidden="0" customHeight="1">
      <x:c r="A363" s="5" t="str">
        <x:v>paired_full</x:v>
      </x:c>
      <x:c r="B363" s="5" t="str">
        <x:v>holdout</x:v>
      </x:c>
      <x:c r="C363" s="5" t="str">
        <x:v>D2_ARCHIVED</x:v>
      </x:c>
      <x:c r="D363" s="5" t="str">
        <x:v>hallucinated_contribution_rate</x:v>
      </x:c>
      <x:c r="E363" s="5" t="n">
        <x:v>4</x:v>
      </x:c>
      <x:c r="F363" s="5" t="n">
        <x:v>25</x:v>
      </x:c>
      <x:c r="G363" s="10" t="n">
        <x:f>IF(COUNTBLANK(E363:F363)&gt;0,"N/A",IF(F363=0,"N/A",E363/F363))</x:f>
        <x:v>0.16</x:v>
      </x:c>
      <x:c r="H363" s="5" t="str">
        <x:v>Silver</x:v>
      </x:c>
      <x:c r="I363" s="5" t="n">
        <x:v>40</x:v>
      </x:c>
      <x:c r="J363" s="5" t="n">
        <x:v>0</x:v>
      </x:c>
      <x:c r="K363" s="5" t="str">
        <x:v>rate</x:v>
      </x:c>
      <x:c r="L363" s="5" t="str"/>
    </x:row>
    <x:row r="364" ht="20" hidden="0" customHeight="1">
      <x:c r="A364" s="5" t="str">
        <x:v>paired_full</x:v>
      </x:c>
      <x:c r="B364" s="5" t="str">
        <x:v>holdout</x:v>
      </x:c>
      <x:c r="C364" s="5" t="str">
        <x:v>D2_ARCHIVED</x:v>
      </x:c>
      <x:c r="D364" s="5" t="str">
        <x:v>technical_mechanism_gold_accuracy</x:v>
      </x:c>
      <x:c r="E364" s="5"/>
      <x:c r="F364" s="5"/>
      <x:c r="G364" s="10" t="str">
        <x:f>IF(COUNTBLANK(E364:F364)&gt;0,"N/A",IF(F364=0,"N/A",E364/F364))</x:f>
        <x:v>N/A</x:v>
      </x:c>
      <x:c r="H364" s="5" t="str">
        <x:v>Gold</x:v>
      </x:c>
      <x:c r="I364" s="5" t="n">
        <x:v>0</x:v>
      </x:c>
      <x:c r="J364" s="5" t="n">
        <x:v>0</x:v>
      </x:c>
      <x:c r="K364" s="5" t="str">
        <x:v>rate</x:v>
      </x:c>
      <x:c r="L364" s="5" t="str">
        <x:v>N/A: zero independent human Gold labels; AI must not be promoted to human truth</x:v>
      </x:c>
    </x:row>
    <x:row r="365" ht="20" hidden="0" customHeight="1">
      <x:c r="A365" s="5" t="str">
        <x:v>paired_full</x:v>
      </x:c>
      <x:c r="B365" s="5" t="str">
        <x:v>holdout</x:v>
      </x:c>
      <x:c r="C365" s="5" t="str">
        <x:v>D2_ARCHIVED</x:v>
      </x:c>
      <x:c r="D365" s="5" t="str">
        <x:v>materials_gold_accuracy</x:v>
      </x:c>
      <x:c r="E365" s="5"/>
      <x:c r="F365" s="5"/>
      <x:c r="G365" s="10" t="str">
        <x:f>IF(COUNTBLANK(E365:F365)&gt;0,"N/A",IF(F365=0,"N/A",E365/F365))</x:f>
        <x:v>N/A</x:v>
      </x:c>
      <x:c r="H365" s="5" t="str">
        <x:v>Gold</x:v>
      </x:c>
      <x:c r="I365" s="5" t="n">
        <x:v>0</x:v>
      </x:c>
      <x:c r="J365" s="5" t="n">
        <x:v>0</x:v>
      </x:c>
      <x:c r="K365" s="5" t="str">
        <x:v>rate</x:v>
      </x:c>
      <x:c r="L365" s="5" t="str">
        <x:v>N/A: zero independent human Gold labels; AI must not be promoted to human truth</x:v>
      </x:c>
    </x:row>
    <x:row r="366" ht="20" hidden="0" customHeight="1">
      <x:c r="A366" s="5" t="str">
        <x:v>paired_full</x:v>
      </x:c>
      <x:c r="B366" s="5" t="str">
        <x:v>holdout</x:v>
      </x:c>
      <x:c r="C366" s="5" t="str">
        <x:v>D2_ARCHIVED</x:v>
      </x:c>
      <x:c r="D366" s="5" t="str">
        <x:v>process_method_gold_accuracy</x:v>
      </x:c>
      <x:c r="E366" s="5"/>
      <x:c r="F366" s="5"/>
      <x:c r="G366" s="10" t="str">
        <x:f>IF(COUNTBLANK(E366:F366)&gt;0,"N/A",IF(F366=0,"N/A",E366/F366))</x:f>
        <x:v>N/A</x:v>
      </x:c>
      <x:c r="H366" s="5" t="str">
        <x:v>Gold</x:v>
      </x:c>
      <x:c r="I366" s="5" t="n">
        <x:v>0</x:v>
      </x:c>
      <x:c r="J366" s="5" t="n">
        <x:v>0</x:v>
      </x:c>
      <x:c r="K366" s="5" t="str">
        <x:v>rate</x:v>
      </x:c>
      <x:c r="L366" s="5" t="str">
        <x:v>N/A: zero independent human Gold labels; AI must not be promoted to human truth</x:v>
      </x:c>
    </x:row>
    <x:row r="367" ht="20" hidden="0" customHeight="1">
      <x:c r="A367" s="5" t="str">
        <x:v>paired_full</x:v>
      </x:c>
      <x:c r="B367" s="5" t="str">
        <x:v>holdout</x:v>
      </x:c>
      <x:c r="C367" s="5" t="str">
        <x:v>D2_ARCHIVED</x:v>
      </x:c>
      <x:c r="D367" s="5" t="str">
        <x:v>parameters_gold_accuracy</x:v>
      </x:c>
      <x:c r="E367" s="5"/>
      <x:c r="F367" s="5"/>
      <x:c r="G367" s="10" t="str">
        <x:f>IF(COUNTBLANK(E367:F367)&gt;0,"N/A",IF(F367=0,"N/A",E367/F367))</x:f>
        <x:v>N/A</x:v>
      </x:c>
      <x:c r="H367" s="5" t="str">
        <x:v>Gold</x:v>
      </x:c>
      <x:c r="I367" s="5" t="n">
        <x:v>0</x:v>
      </x:c>
      <x:c r="J367" s="5" t="n">
        <x:v>0</x:v>
      </x:c>
      <x:c r="K367" s="5" t="str">
        <x:v>rate</x:v>
      </x:c>
      <x:c r="L367" s="5" t="str">
        <x:v>N/A: zero independent human Gold labels; AI must not be promoted to human truth</x:v>
      </x:c>
    </x:row>
    <x:row r="368" ht="20" hidden="0" customHeight="1">
      <x:c r="A368" s="5" t="str">
        <x:v>paired_full</x:v>
      </x:c>
      <x:c r="B368" s="5" t="str">
        <x:v>holdout</x:v>
      </x:c>
      <x:c r="C368" s="5" t="str">
        <x:v>D2_ARCHIVED</x:v>
      </x:c>
      <x:c r="D368" s="5" t="str">
        <x:v>multiple_contributions_gold_accuracy</x:v>
      </x:c>
      <x:c r="E368" s="5"/>
      <x:c r="F368" s="5"/>
      <x:c r="G368" s="10" t="str">
        <x:f>IF(COUNTBLANK(E368:F368)&gt;0,"N/A",IF(F368=0,"N/A",E368/F368))</x:f>
        <x:v>N/A</x:v>
      </x:c>
      <x:c r="H368" s="5" t="str">
        <x:v>Gold</x:v>
      </x:c>
      <x:c r="I368" s="5" t="n">
        <x:v>0</x:v>
      </x:c>
      <x:c r="J368" s="5" t="n">
        <x:v>0</x:v>
      </x:c>
      <x:c r="K368" s="5" t="str">
        <x:v>rate</x:v>
      </x:c>
      <x:c r="L368" s="5" t="str">
        <x:v>N/A: zero independent human Gold labels; AI must not be promoted to human truth</x:v>
      </x:c>
    </x:row>
    <x:row r="369" ht="20" hidden="0" customHeight="1">
      <x:c r="A369" s="5" t="str">
        <x:v>paired_full</x:v>
      </x:c>
      <x:c r="B369" s="5" t="str">
        <x:v>holdout</x:v>
      </x:c>
      <x:c r="C369" s="5" t="str">
        <x:v>D3_FIDELITY</x:v>
      </x:c>
      <x:c r="D369" s="5" t="str">
        <x:v>technical_object_correct_rate</x:v>
      </x:c>
      <x:c r="E369" s="5" t="n">
        <x:v>28</x:v>
      </x:c>
      <x:c r="F369" s="5" t="n">
        <x:v>28</x:v>
      </x:c>
      <x:c r="G369" s="10" t="n">
        <x:f>IF(COUNTBLANK(E369:F369)&gt;0,"N/A",IF(F369=0,"N/A",E369/F369))</x:f>
        <x:v>1</x:v>
      </x:c>
      <x:c r="H369" s="5" t="str">
        <x:v>Silver</x:v>
      </x:c>
      <x:c r="I369" s="5" t="n">
        <x:v>40</x:v>
      </x:c>
      <x:c r="J369" s="5" t="n">
        <x:v>12</x:v>
      </x:c>
      <x:c r="K369" s="5" t="str">
        <x:v>rate</x:v>
      </x:c>
      <x:c r="L369" s="5" t="str">
        <x:v>Correct / {Correct,Partially Correct,Incorrect}; insufficient and uncertain excluded; same-model Silver</x:v>
      </x:c>
    </x:row>
    <x:row r="370" ht="20" hidden="0" customHeight="1">
      <x:c r="A370" s="5" t="str">
        <x:v>paired_full</x:v>
      </x:c>
      <x:c r="B370" s="5" t="str">
        <x:v>holdout</x:v>
      </x:c>
      <x:c r="C370" s="5" t="str">
        <x:v>D3_FIDELITY</x:v>
      </x:c>
      <x:c r="D370" s="5" t="str">
        <x:v>technical_object_partially_correct_rate</x:v>
      </x:c>
      <x:c r="E370" s="5" t="n">
        <x:v>0</x:v>
      </x:c>
      <x:c r="F370" s="5" t="n">
        <x:v>28</x:v>
      </x:c>
      <x:c r="G370" s="10" t="n">
        <x:f>IF(COUNTBLANK(E370:F370)&gt;0,"N/A",IF(F370=0,"N/A",E370/F370))</x:f>
        <x:v>0</x:v>
      </x:c>
      <x:c r="H370" s="5" t="str">
        <x:v>Silver</x:v>
      </x:c>
      <x:c r="I370" s="5" t="n">
        <x:v>40</x:v>
      </x:c>
      <x:c r="J370" s="5" t="n">
        <x:v>12</x:v>
      </x:c>
      <x:c r="K370" s="5" t="str">
        <x:v>rate</x:v>
      </x:c>
      <x:c r="L370" s="5" t="str"/>
    </x:row>
    <x:row r="371" ht="20" hidden="0" customHeight="1">
      <x:c r="A371" s="5" t="str">
        <x:v>paired_full</x:v>
      </x:c>
      <x:c r="B371" s="5" t="str">
        <x:v>holdout</x:v>
      </x:c>
      <x:c r="C371" s="5" t="str">
        <x:v>D3_FIDELITY</x:v>
      </x:c>
      <x:c r="D371" s="5" t="str">
        <x:v>technical_problem_correct_rate</x:v>
      </x:c>
      <x:c r="E371" s="5" t="n">
        <x:v>18</x:v>
      </x:c>
      <x:c r="F371" s="5" t="n">
        <x:v>19</x:v>
      </x:c>
      <x:c r="G371" s="10" t="n">
        <x:f>IF(COUNTBLANK(E371:F371)&gt;0,"N/A",IF(F371=0,"N/A",E371/F371))</x:f>
        <x:v>0.9473684210526315</x:v>
      </x:c>
      <x:c r="H371" s="5" t="str">
        <x:v>Silver</x:v>
      </x:c>
      <x:c r="I371" s="5" t="n">
        <x:v>40</x:v>
      </x:c>
      <x:c r="J371" s="5" t="n">
        <x:v>21</x:v>
      </x:c>
      <x:c r="K371" s="5" t="str">
        <x:v>rate</x:v>
      </x:c>
      <x:c r="L371" s="5" t="str">
        <x:v>Correct / {Correct,Partially Correct,Incorrect}; insufficient and uncertain excluded; same-model Silver</x:v>
      </x:c>
    </x:row>
    <x:row r="372" ht="20" hidden="0" customHeight="1">
      <x:c r="A372" s="5" t="str">
        <x:v>paired_full</x:v>
      </x:c>
      <x:c r="B372" s="5" t="str">
        <x:v>holdout</x:v>
      </x:c>
      <x:c r="C372" s="5" t="str">
        <x:v>D3_FIDELITY</x:v>
      </x:c>
      <x:c r="D372" s="5" t="str">
        <x:v>technical_problem_partially_correct_rate</x:v>
      </x:c>
      <x:c r="E372" s="5" t="n">
        <x:v>1</x:v>
      </x:c>
      <x:c r="F372" s="5" t="n">
        <x:v>19</x:v>
      </x:c>
      <x:c r="G372" s="10" t="n">
        <x:f>IF(COUNTBLANK(E372:F372)&gt;0,"N/A",IF(F372=0,"N/A",E372/F372))</x:f>
        <x:v>0.05263157894736842</x:v>
      </x:c>
      <x:c r="H372" s="5" t="str">
        <x:v>Silver</x:v>
      </x:c>
      <x:c r="I372" s="5" t="n">
        <x:v>40</x:v>
      </x:c>
      <x:c r="J372" s="5" t="n">
        <x:v>21</x:v>
      </x:c>
      <x:c r="K372" s="5" t="str">
        <x:v>rate</x:v>
      </x:c>
      <x:c r="L372" s="5" t="str"/>
    </x:row>
    <x:row r="373" ht="20" hidden="0" customHeight="1">
      <x:c r="A373" s="5" t="str">
        <x:v>paired_full</x:v>
      </x:c>
      <x:c r="B373" s="5" t="str">
        <x:v>holdout</x:v>
      </x:c>
      <x:c r="C373" s="5" t="str">
        <x:v>D3_FIDELITY</x:v>
      </x:c>
      <x:c r="D373" s="5" t="str">
        <x:v>technical_mechanism_correct_rate</x:v>
      </x:c>
      <x:c r="E373" s="5" t="n">
        <x:v>25</x:v>
      </x:c>
      <x:c r="F373" s="5" t="n">
        <x:v>25</x:v>
      </x:c>
      <x:c r="G373" s="10" t="n">
        <x:f>IF(COUNTBLANK(E373:F373)&gt;0,"N/A",IF(F373=0,"N/A",E373/F373))</x:f>
        <x:v>1</x:v>
      </x:c>
      <x:c r="H373" s="5" t="str">
        <x:v>Silver</x:v>
      </x:c>
      <x:c r="I373" s="5" t="n">
        <x:v>40</x:v>
      </x:c>
      <x:c r="J373" s="5" t="n">
        <x:v>15</x:v>
      </x:c>
      <x:c r="K373" s="5" t="str">
        <x:v>rate</x:v>
      </x:c>
      <x:c r="L373" s="5" t="str">
        <x:v>Correct / {Correct,Partially Correct,Incorrect}; insufficient and uncertain excluded; same-model Silver</x:v>
      </x:c>
    </x:row>
    <x:row r="374" ht="20" hidden="0" customHeight="1">
      <x:c r="A374" s="5" t="str">
        <x:v>paired_full</x:v>
      </x:c>
      <x:c r="B374" s="5" t="str">
        <x:v>holdout</x:v>
      </x:c>
      <x:c r="C374" s="5" t="str">
        <x:v>D3_FIDELITY</x:v>
      </x:c>
      <x:c r="D374" s="5" t="str">
        <x:v>technical_mechanism_partially_correct_rate</x:v>
      </x:c>
      <x:c r="E374" s="5" t="n">
        <x:v>0</x:v>
      </x:c>
      <x:c r="F374" s="5" t="n">
        <x:v>25</x:v>
      </x:c>
      <x:c r="G374" s="10" t="n">
        <x:f>IF(COUNTBLANK(E374:F374)&gt;0,"N/A",IF(F374=0,"N/A",E374/F374))</x:f>
        <x:v>0</x:v>
      </x:c>
      <x:c r="H374" s="5" t="str">
        <x:v>Silver</x:v>
      </x:c>
      <x:c r="I374" s="5" t="n">
        <x:v>40</x:v>
      </x:c>
      <x:c r="J374" s="5" t="n">
        <x:v>15</x:v>
      </x:c>
      <x:c r="K374" s="5" t="str">
        <x:v>rate</x:v>
      </x:c>
      <x:c r="L374" s="5" t="str"/>
    </x:row>
    <x:row r="375" ht="20" hidden="0" customHeight="1">
      <x:c r="A375" s="5" t="str">
        <x:v>paired_full</x:v>
      </x:c>
      <x:c r="B375" s="5" t="str">
        <x:v>holdout</x:v>
      </x:c>
      <x:c r="C375" s="5" t="str">
        <x:v>D3_FIDELITY</x:v>
      </x:c>
      <x:c r="D375" s="5" t="str">
        <x:v>materials_correct_rate</x:v>
      </x:c>
      <x:c r="E375" s="5" t="n">
        <x:v>13</x:v>
      </x:c>
      <x:c r="F375" s="5" t="n">
        <x:v>19</x:v>
      </x:c>
      <x:c r="G375" s="10" t="n">
        <x:f>IF(COUNTBLANK(E375:F375)&gt;0,"N/A",IF(F375=0,"N/A",E375/F375))</x:f>
        <x:v>0.6842105263157895</x:v>
      </x:c>
      <x:c r="H375" s="5" t="str">
        <x:v>Silver</x:v>
      </x:c>
      <x:c r="I375" s="5" t="n">
        <x:v>40</x:v>
      </x:c>
      <x:c r="J375" s="5" t="n">
        <x:v>21</x:v>
      </x:c>
      <x:c r="K375" s="5" t="str">
        <x:v>rate</x:v>
      </x:c>
      <x:c r="L375" s="5" t="str">
        <x:v>Correct / {Correct,Partially Correct,Incorrect}; insufficient and uncertain excluded; same-model Silver</x:v>
      </x:c>
    </x:row>
    <x:row r="376" ht="20" hidden="0" customHeight="1">
      <x:c r="A376" s="5" t="str">
        <x:v>paired_full</x:v>
      </x:c>
      <x:c r="B376" s="5" t="str">
        <x:v>holdout</x:v>
      </x:c>
      <x:c r="C376" s="5" t="str">
        <x:v>D3_FIDELITY</x:v>
      </x:c>
      <x:c r="D376" s="5" t="str">
        <x:v>materials_partially_correct_rate</x:v>
      </x:c>
      <x:c r="E376" s="5" t="n">
        <x:v>6</x:v>
      </x:c>
      <x:c r="F376" s="5" t="n">
        <x:v>19</x:v>
      </x:c>
      <x:c r="G376" s="10" t="n">
        <x:f>IF(COUNTBLANK(E376:F376)&gt;0,"N/A",IF(F376=0,"N/A",E376/F376))</x:f>
        <x:v>0.3157894736842105</x:v>
      </x:c>
      <x:c r="H376" s="5" t="str">
        <x:v>Silver</x:v>
      </x:c>
      <x:c r="I376" s="5" t="n">
        <x:v>40</x:v>
      </x:c>
      <x:c r="J376" s="5" t="n">
        <x:v>21</x:v>
      </x:c>
      <x:c r="K376" s="5" t="str">
        <x:v>rate</x:v>
      </x:c>
      <x:c r="L376" s="5" t="str"/>
    </x:row>
    <x:row r="377" ht="20" hidden="0" customHeight="1">
      <x:c r="A377" s="5" t="str">
        <x:v>paired_full</x:v>
      </x:c>
      <x:c r="B377" s="5" t="str">
        <x:v>holdout</x:v>
      </x:c>
      <x:c r="C377" s="5" t="str">
        <x:v>D3_FIDELITY</x:v>
      </x:c>
      <x:c r="D377" s="5" t="str">
        <x:v>process_method_correct_rate</x:v>
      </x:c>
      <x:c r="E377" s="5" t="n">
        <x:v>15</x:v>
      </x:c>
      <x:c r="F377" s="5" t="n">
        <x:v>17</x:v>
      </x:c>
      <x:c r="G377" s="10" t="n">
        <x:f>IF(COUNTBLANK(E377:F377)&gt;0,"N/A",IF(F377=0,"N/A",E377/F377))</x:f>
        <x:v>0.8823529411764706</x:v>
      </x:c>
      <x:c r="H377" s="5" t="str">
        <x:v>Silver</x:v>
      </x:c>
      <x:c r="I377" s="5" t="n">
        <x:v>40</x:v>
      </x:c>
      <x:c r="J377" s="5" t="n">
        <x:v>23</x:v>
      </x:c>
      <x:c r="K377" s="5" t="str">
        <x:v>rate</x:v>
      </x:c>
      <x:c r="L377" s="5" t="str">
        <x:v>Correct / {Correct,Partially Correct,Incorrect}; insufficient and uncertain excluded; same-model Silver</x:v>
      </x:c>
    </x:row>
    <x:row r="378" ht="20" hidden="0" customHeight="1">
      <x:c r="A378" s="5" t="str">
        <x:v>paired_full</x:v>
      </x:c>
      <x:c r="B378" s="5" t="str">
        <x:v>holdout</x:v>
      </x:c>
      <x:c r="C378" s="5" t="str">
        <x:v>D3_FIDELITY</x:v>
      </x:c>
      <x:c r="D378" s="5" t="str">
        <x:v>process_method_partially_correct_rate</x:v>
      </x:c>
      <x:c r="E378" s="5" t="n">
        <x:v>2</x:v>
      </x:c>
      <x:c r="F378" s="5" t="n">
        <x:v>17</x:v>
      </x:c>
      <x:c r="G378" s="10" t="n">
        <x:f>IF(COUNTBLANK(E378:F378)&gt;0,"N/A",IF(F378=0,"N/A",E378/F378))</x:f>
        <x:v>0.11764705882352941</x:v>
      </x:c>
      <x:c r="H378" s="5" t="str">
        <x:v>Silver</x:v>
      </x:c>
      <x:c r="I378" s="5" t="n">
        <x:v>40</x:v>
      </x:c>
      <x:c r="J378" s="5" t="n">
        <x:v>23</x:v>
      </x:c>
      <x:c r="K378" s="5" t="str">
        <x:v>rate</x:v>
      </x:c>
      <x:c r="L378" s="5" t="str"/>
    </x:row>
    <x:row r="379" ht="20" hidden="0" customHeight="1">
      <x:c r="A379" s="5" t="str">
        <x:v>paired_full</x:v>
      </x:c>
      <x:c r="B379" s="5" t="str">
        <x:v>holdout</x:v>
      </x:c>
      <x:c r="C379" s="5" t="str">
        <x:v>D3_FIDELITY</x:v>
      </x:c>
      <x:c r="D379" s="5" t="str">
        <x:v>process_order_correct_rate</x:v>
      </x:c>
      <x:c r="E379" s="5" t="n">
        <x:v>5</x:v>
      </x:c>
      <x:c r="F379" s="5" t="n">
        <x:v>9</x:v>
      </x:c>
      <x:c r="G379" s="10" t="n">
        <x:f>IF(COUNTBLANK(E379:F379)&gt;0,"N/A",IF(F379=0,"N/A",E379/F379))</x:f>
        <x:v>0.5555555555555556</x:v>
      </x:c>
      <x:c r="H379" s="5" t="str">
        <x:v>Silver</x:v>
      </x:c>
      <x:c r="I379" s="5" t="n">
        <x:v>40</x:v>
      </x:c>
      <x:c r="J379" s="5" t="n">
        <x:v>31</x:v>
      </x:c>
      <x:c r="K379" s="5" t="str">
        <x:v>rate</x:v>
      </x:c>
      <x:c r="L379" s="5" t="str">
        <x:v>Correct / {Correct,Partially Correct,Incorrect}; insufficient and uncertain excluded; same-model Silver</x:v>
      </x:c>
    </x:row>
    <x:row r="380" ht="20" hidden="0" customHeight="1">
      <x:c r="A380" s="5" t="str">
        <x:v>paired_full</x:v>
      </x:c>
      <x:c r="B380" s="5" t="str">
        <x:v>holdout</x:v>
      </x:c>
      <x:c r="C380" s="5" t="str">
        <x:v>D3_FIDELITY</x:v>
      </x:c>
      <x:c r="D380" s="5" t="str">
        <x:v>process_order_partially_correct_rate</x:v>
      </x:c>
      <x:c r="E380" s="5" t="n">
        <x:v>4</x:v>
      </x:c>
      <x:c r="F380" s="5" t="n">
        <x:v>9</x:v>
      </x:c>
      <x:c r="G380" s="10" t="n">
        <x:f>IF(COUNTBLANK(E380:F380)&gt;0,"N/A",IF(F380=0,"N/A",E380/F380))</x:f>
        <x:v>0.4444444444444444</x:v>
      </x:c>
      <x:c r="H380" s="5" t="str">
        <x:v>Silver</x:v>
      </x:c>
      <x:c r="I380" s="5" t="n">
        <x:v>40</x:v>
      </x:c>
      <x:c r="J380" s="5" t="n">
        <x:v>31</x:v>
      </x:c>
      <x:c r="K380" s="5" t="str">
        <x:v>rate</x:v>
      </x:c>
      <x:c r="L380" s="5" t="str"/>
    </x:row>
    <x:row r="381" ht="20" hidden="0" customHeight="1">
      <x:c r="A381" s="5" t="str">
        <x:v>paired_full</x:v>
      </x:c>
      <x:c r="B381" s="5" t="str">
        <x:v>holdout</x:v>
      </x:c>
      <x:c r="C381" s="5" t="str">
        <x:v>D3_FIDELITY</x:v>
      </x:c>
      <x:c r="D381" s="5" t="str">
        <x:v>parameters_correct_rate</x:v>
      </x:c>
      <x:c r="E381" s="5" t="n">
        <x:v>6</x:v>
      </x:c>
      <x:c r="F381" s="5" t="n">
        <x:v>11</x:v>
      </x:c>
      <x:c r="G381" s="10" t="n">
        <x:f>IF(COUNTBLANK(E381:F381)&gt;0,"N/A",IF(F381=0,"N/A",E381/F381))</x:f>
        <x:v>0.5454545454545454</x:v>
      </x:c>
      <x:c r="H381" s="5" t="str">
        <x:v>Silver</x:v>
      </x:c>
      <x:c r="I381" s="5" t="n">
        <x:v>40</x:v>
      </x:c>
      <x:c r="J381" s="5" t="n">
        <x:v>29</x:v>
      </x:c>
      <x:c r="K381" s="5" t="str">
        <x:v>rate</x:v>
      </x:c>
      <x:c r="L381" s="5" t="str">
        <x:v>Correct / {Correct,Partially Correct,Incorrect}; insufficient and uncertain excluded; same-model Silver</x:v>
      </x:c>
    </x:row>
    <x:row r="382" ht="20" hidden="0" customHeight="1">
      <x:c r="A382" s="5" t="str">
        <x:v>paired_full</x:v>
      </x:c>
      <x:c r="B382" s="5" t="str">
        <x:v>holdout</x:v>
      </x:c>
      <x:c r="C382" s="5" t="str">
        <x:v>D3_FIDELITY</x:v>
      </x:c>
      <x:c r="D382" s="5" t="str">
        <x:v>parameters_partially_correct_rate</x:v>
      </x:c>
      <x:c r="E382" s="5" t="n">
        <x:v>5</x:v>
      </x:c>
      <x:c r="F382" s="5" t="n">
        <x:v>11</x:v>
      </x:c>
      <x:c r="G382" s="10" t="n">
        <x:f>IF(COUNTBLANK(E382:F382)&gt;0,"N/A",IF(F382=0,"N/A",E382/F382))</x:f>
        <x:v>0.45454545454545453</x:v>
      </x:c>
      <x:c r="H382" s="5" t="str">
        <x:v>Silver</x:v>
      </x:c>
      <x:c r="I382" s="5" t="n">
        <x:v>40</x:v>
      </x:c>
      <x:c r="J382" s="5" t="n">
        <x:v>29</x:v>
      </x:c>
      <x:c r="K382" s="5" t="str">
        <x:v>rate</x:v>
      </x:c>
      <x:c r="L382" s="5" t="str"/>
    </x:row>
    <x:row r="383" ht="20" hidden="0" customHeight="1">
      <x:c r="A383" s="5" t="str">
        <x:v>paired_full</x:v>
      </x:c>
      <x:c r="B383" s="5" t="str">
        <x:v>holdout</x:v>
      </x:c>
      <x:c r="C383" s="5" t="str">
        <x:v>D3_FIDELITY</x:v>
      </x:c>
      <x:c r="D383" s="5" t="str">
        <x:v>effects_correct_rate</x:v>
      </x:c>
      <x:c r="E383" s="5" t="n">
        <x:v>20</x:v>
      </x:c>
      <x:c r="F383" s="5" t="n">
        <x:v>20</x:v>
      </x:c>
      <x:c r="G383" s="10" t="n">
        <x:f>IF(COUNTBLANK(E383:F383)&gt;0,"N/A",IF(F383=0,"N/A",E383/F383))</x:f>
        <x:v>1</x:v>
      </x:c>
      <x:c r="H383" s="5" t="str">
        <x:v>Silver</x:v>
      </x:c>
      <x:c r="I383" s="5" t="n">
        <x:v>40</x:v>
      </x:c>
      <x:c r="J383" s="5" t="n">
        <x:v>20</x:v>
      </x:c>
      <x:c r="K383" s="5" t="str">
        <x:v>rate</x:v>
      </x:c>
      <x:c r="L383" s="5" t="str">
        <x:v>Correct / {Correct,Partially Correct,Incorrect}; insufficient and uncertain excluded; same-model Silver</x:v>
      </x:c>
    </x:row>
    <x:row r="384" ht="20" hidden="0" customHeight="1">
      <x:c r="A384" s="5" t="str">
        <x:v>paired_full</x:v>
      </x:c>
      <x:c r="B384" s="5" t="str">
        <x:v>holdout</x:v>
      </x:c>
      <x:c r="C384" s="5" t="str">
        <x:v>D3_FIDELITY</x:v>
      </x:c>
      <x:c r="D384" s="5" t="str">
        <x:v>effects_partially_correct_rate</x:v>
      </x:c>
      <x:c r="E384" s="5" t="n">
        <x:v>0</x:v>
      </x:c>
      <x:c r="F384" s="5" t="n">
        <x:v>20</x:v>
      </x:c>
      <x:c r="G384" s="10" t="n">
        <x:f>IF(COUNTBLANK(E384:F384)&gt;0,"N/A",IF(F384=0,"N/A",E384/F384))</x:f>
        <x:v>0</x:v>
      </x:c>
      <x:c r="H384" s="5" t="str">
        <x:v>Silver</x:v>
      </x:c>
      <x:c r="I384" s="5" t="n">
        <x:v>40</x:v>
      </x:c>
      <x:c r="J384" s="5" t="n">
        <x:v>20</x:v>
      </x:c>
      <x:c r="K384" s="5" t="str">
        <x:v>rate</x:v>
      </x:c>
      <x:c r="L384" s="5" t="str"/>
    </x:row>
    <x:row r="385" ht="20" hidden="0" customHeight="1">
      <x:c r="A385" s="5" t="str">
        <x:v>paired_full</x:v>
      </x:c>
      <x:c r="B385" s="5" t="str">
        <x:v>holdout</x:v>
      </x:c>
      <x:c r="C385" s="5" t="str">
        <x:v>D3_FIDELITY</x:v>
      </x:c>
      <x:c r="D385" s="5" t="str">
        <x:v>multiple_contributions_correct_rate</x:v>
      </x:c>
      <x:c r="E385" s="5" t="n">
        <x:v>26</x:v>
      </x:c>
      <x:c r="F385" s="5" t="n">
        <x:v>29</x:v>
      </x:c>
      <x:c r="G385" s="10" t="n">
        <x:f>IF(COUNTBLANK(E385:F385)&gt;0,"N/A",IF(F385=0,"N/A",E385/F385))</x:f>
        <x:v>0.896551724137931</x:v>
      </x:c>
      <x:c r="H385" s="5" t="str">
        <x:v>Silver</x:v>
      </x:c>
      <x:c r="I385" s="5" t="n">
        <x:v>40</x:v>
      </x:c>
      <x:c r="J385" s="5" t="n">
        <x:v>11</x:v>
      </x:c>
      <x:c r="K385" s="5" t="str">
        <x:v>rate</x:v>
      </x:c>
      <x:c r="L385" s="5" t="str">
        <x:v>Correct / {Correct,Partially Correct,Incorrect}; insufficient and uncertain excluded; same-model Silver</x:v>
      </x:c>
    </x:row>
    <x:row r="386" ht="20" hidden="0" customHeight="1">
      <x:c r="A386" s="5" t="str">
        <x:v>paired_full</x:v>
      </x:c>
      <x:c r="B386" s="5" t="str">
        <x:v>holdout</x:v>
      </x:c>
      <x:c r="C386" s="5" t="str">
        <x:v>D3_FIDELITY</x:v>
      </x:c>
      <x:c r="D386" s="5" t="str">
        <x:v>multiple_contributions_partially_correct_rate</x:v>
      </x:c>
      <x:c r="E386" s="5" t="n">
        <x:v>2</x:v>
      </x:c>
      <x:c r="F386" s="5" t="n">
        <x:v>29</x:v>
      </x:c>
      <x:c r="G386" s="10" t="n">
        <x:f>IF(COUNTBLANK(E386:F386)&gt;0,"N/A",IF(F386=0,"N/A",E386/F386))</x:f>
        <x:v>0.06896551724137931</x:v>
      </x:c>
      <x:c r="H386" s="5" t="str">
        <x:v>Silver</x:v>
      </x:c>
      <x:c r="I386" s="5" t="n">
        <x:v>40</x:v>
      </x:c>
      <x:c r="J386" s="5" t="n">
        <x:v>11</x:v>
      </x:c>
      <x:c r="K386" s="5" t="str">
        <x:v>rate</x:v>
      </x:c>
      <x:c r="L386" s="5" t="str"/>
    </x:row>
    <x:row r="387" ht="20" hidden="0" customHeight="1">
      <x:c r="A387" s="5" t="str">
        <x:v>paired_full</x:v>
      </x:c>
      <x:c r="B387" s="5" t="str">
        <x:v>holdout</x:v>
      </x:c>
      <x:c r="C387" s="5" t="str">
        <x:v>D3_FIDELITY</x:v>
      </x:c>
      <x:c r="D387" s="5" t="str">
        <x:v>hallucination_correct_rate</x:v>
      </x:c>
      <x:c r="E387" s="5" t="n">
        <x:v>40</x:v>
      </x:c>
      <x:c r="F387" s="5" t="n">
        <x:v>40</x:v>
      </x:c>
      <x:c r="G387" s="10" t="n">
        <x:f>IF(COUNTBLANK(E387:F387)&gt;0,"N/A",IF(F387=0,"N/A",E387/F387))</x:f>
        <x:v>1</x:v>
      </x:c>
      <x:c r="H387" s="5" t="str">
        <x:v>Silver</x:v>
      </x:c>
      <x:c r="I387" s="5" t="n">
        <x:v>40</x:v>
      </x:c>
      <x:c r="J387" s="5" t="n">
        <x:v>0</x:v>
      </x:c>
      <x:c r="K387" s="5" t="str">
        <x:v>rate</x:v>
      </x:c>
      <x:c r="L387" s="5" t="str">
        <x:v>Correct / {Correct,Partially Correct,Incorrect}; insufficient and uncertain excluded; same-model Silver</x:v>
      </x:c>
    </x:row>
    <x:row r="388" ht="20" hidden="0" customHeight="1">
      <x:c r="A388" s="5" t="str">
        <x:v>paired_full</x:v>
      </x:c>
      <x:c r="B388" s="5" t="str">
        <x:v>holdout</x:v>
      </x:c>
      <x:c r="C388" s="5" t="str">
        <x:v>D3_FIDELITY</x:v>
      </x:c>
      <x:c r="D388" s="5" t="str">
        <x:v>hallucination_partially_correct_rate</x:v>
      </x:c>
      <x:c r="E388" s="5" t="n">
        <x:v>0</x:v>
      </x:c>
      <x:c r="F388" s="5" t="n">
        <x:v>40</x:v>
      </x:c>
      <x:c r="G388" s="10" t="n">
        <x:f>IF(COUNTBLANK(E388:F388)&gt;0,"N/A",IF(F388=0,"N/A",E388/F388))</x:f>
        <x:v>0</x:v>
      </x:c>
      <x:c r="H388" s="5" t="str">
        <x:v>Silver</x:v>
      </x:c>
      <x:c r="I388" s="5" t="n">
        <x:v>40</x:v>
      </x:c>
      <x:c r="J388" s="5" t="n">
        <x:v>0</x:v>
      </x:c>
      <x:c r="K388" s="5" t="str">
        <x:v>rate</x:v>
      </x:c>
      <x:c r="L388" s="5" t="str"/>
    </x:row>
    <x:row r="389" ht="31" hidden="0" customHeight="1">
      <x:c r="A389" s="5" t="str">
        <x:v>paired_full</x:v>
      </x:c>
      <x:c r="B389" s="5" t="str">
        <x:v>holdout</x:v>
      </x:c>
      <x:c r="C389" s="5" t="str">
        <x:v>D3_FIDELITY</x:v>
      </x:c>
      <x:c r="D389" s="5" t="str">
        <x:v>contribution_coverage</x:v>
      </x:c>
      <x:c r="E389" s="5" t="n">
        <x:v>31</x:v>
      </x:c>
      <x:c r="F389" s="5" t="n">
        <x:v>38</x:v>
      </x:c>
      <x:c r="G389" s="10" t="n">
        <x:f>IF(COUNTBLANK(E389:F389)&gt;0,"N/A",IF(F389=0,"N/A",E389/F389))</x:f>
        <x:v>0.8157894736842105</x:v>
      </x:c>
      <x:c r="H389" s="5" t="str">
        <x:v>Silver</x:v>
      </x:c>
      <x:c r="I389" s="5" t="n">
        <x:v>40</x:v>
      </x:c>
      <x:c r="J389" s="5" t="n">
        <x:v>8</x:v>
      </x:c>
      <x:c r="K389" s="5" t="str">
        <x:v>rate</x:v>
      </x:c>
      <x:c r="L389" s="5" t="str">
        <x:v>Source-reference denominators required consistent across matched configs; disagreements/zero applicability excluded</x:v>
      </x:c>
    </x:row>
    <x:row r="390" ht="31" hidden="0" customHeight="1">
      <x:c r="A390" s="5" t="str">
        <x:v>paired_full</x:v>
      </x:c>
      <x:c r="B390" s="5" t="str">
        <x:v>holdout</x:v>
      </x:c>
      <x:c r="C390" s="5" t="str">
        <x:v>D3_FIDELITY</x:v>
      </x:c>
      <x:c r="D390" s="5" t="str">
        <x:v>material_retention</x:v>
      </x:c>
      <x:c r="E390" s="5" t="n">
        <x:v>38</x:v>
      </x:c>
      <x:c r="F390" s="5" t="n">
        <x:v>38</x:v>
      </x:c>
      <x:c r="G390" s="10" t="n">
        <x:f>IF(COUNTBLANK(E390:F390)&gt;0,"N/A",IF(F390=0,"N/A",E390/F390))</x:f>
        <x:v>1</x:v>
      </x:c>
      <x:c r="H390" s="5" t="str">
        <x:v>Silver</x:v>
      </x:c>
      <x:c r="I390" s="5" t="n">
        <x:v>40</x:v>
      </x:c>
      <x:c r="J390" s="5" t="n">
        <x:v>26</x:v>
      </x:c>
      <x:c r="K390" s="5" t="str">
        <x:v>rate</x:v>
      </x:c>
      <x:c r="L390" s="5" t="str">
        <x:v>Source-reference denominators required consistent across matched configs; disagreements/zero applicability excluded</x:v>
      </x:c>
    </x:row>
    <x:row r="391" ht="31" hidden="0" customHeight="1">
      <x:c r="A391" s="5" t="str">
        <x:v>paired_full</x:v>
      </x:c>
      <x:c r="B391" s="5" t="str">
        <x:v>holdout</x:v>
      </x:c>
      <x:c r="C391" s="5" t="str">
        <x:v>D3_FIDELITY</x:v>
      </x:c>
      <x:c r="D391" s="5" t="str">
        <x:v>process_retention</x:v>
      </x:c>
      <x:c r="E391" s="5" t="n">
        <x:v>53</x:v>
      </x:c>
      <x:c r="F391" s="5" t="n">
        <x:v>53</x:v>
      </x:c>
      <x:c r="G391" s="10" t="n">
        <x:f>IF(COUNTBLANK(E391:F391)&gt;0,"N/A",IF(F391=0,"N/A",E391/F391))</x:f>
        <x:v>1</x:v>
      </x:c>
      <x:c r="H391" s="5" t="str">
        <x:v>Silver</x:v>
      </x:c>
      <x:c r="I391" s="5" t="n">
        <x:v>40</x:v>
      </x:c>
      <x:c r="J391" s="5" t="n">
        <x:v>25</x:v>
      </x:c>
      <x:c r="K391" s="5" t="str">
        <x:v>rate</x:v>
      </x:c>
      <x:c r="L391" s="5" t="str">
        <x:v>Source-reference denominators required consistent across matched configs; disagreements/zero applicability excluded</x:v>
      </x:c>
    </x:row>
    <x:row r="392" ht="20" hidden="0" customHeight="1">
      <x:c r="A392" s="5" t="str">
        <x:v>paired_full</x:v>
      </x:c>
      <x:c r="B392" s="5" t="str">
        <x:v>holdout</x:v>
      </x:c>
      <x:c r="C392" s="5" t="str">
        <x:v>D3_FIDELITY</x:v>
      </x:c>
      <x:c r="D392" s="5" t="str">
        <x:v>multi_contribution_omission_rate</x:v>
      </x:c>
      <x:c r="E392" s="5" t="n">
        <x:v>0</x:v>
      </x:c>
      <x:c r="F392" s="5" t="n">
        <x:v>4</x:v>
      </x:c>
      <x:c r="G392" s="10" t="n">
        <x:f>IF(COUNTBLANK(E392:F392)&gt;0,"N/A",IF(F392=0,"N/A",E392/F392))</x:f>
        <x:v>0</x:v>
      </x:c>
      <x:c r="H392" s="5" t="str">
        <x:v>Silver</x:v>
      </x:c>
      <x:c r="I392" s="5" t="n">
        <x:v>40</x:v>
      </x:c>
      <x:c r="J392" s="5" t="n">
        <x:v>36</x:v>
      </x:c>
      <x:c r="K392" s="5" t="str">
        <x:v>rate</x:v>
      </x:c>
      <x:c r="L392" s="5" t="str"/>
    </x:row>
    <x:row r="393" ht="20" hidden="0" customHeight="1">
      <x:c r="A393" s="5" t="str">
        <x:v>paired_full</x:v>
      </x:c>
      <x:c r="B393" s="5" t="str">
        <x:v>holdout</x:v>
      </x:c>
      <x:c r="C393" s="5" t="str">
        <x:v>D3_FIDELITY</x:v>
      </x:c>
      <x:c r="D393" s="5" t="str">
        <x:v>full_conclusion_support_rate</x:v>
      </x:c>
      <x:c r="E393" s="5" t="n">
        <x:v>25</x:v>
      </x:c>
      <x:c r="F393" s="5" t="n">
        <x:v>25</x:v>
      </x:c>
      <x:c r="G393" s="10" t="n">
        <x:f>IF(COUNTBLANK(E393:F393)&gt;0,"N/A",IF(F393=0,"N/A",E393/F393))</x:f>
        <x:v>1</x:v>
      </x:c>
      <x:c r="H393" s="5" t="str">
        <x:v>Silver</x:v>
      </x:c>
      <x:c r="I393" s="5" t="n">
        <x:v>40</x:v>
      </x:c>
      <x:c r="J393" s="5" t="n">
        <x:v>15</x:v>
      </x:c>
      <x:c r="K393" s="5" t="str">
        <x:v>rate</x:v>
      </x:c>
      <x:c r="L393" s="5" t="str"/>
    </x:row>
    <x:row r="394" ht="20" hidden="0" customHeight="1">
      <x:c r="A394" s="5" t="str">
        <x:v>paired_full</x:v>
      </x:c>
      <x:c r="B394" s="5" t="str">
        <x:v>holdout</x:v>
      </x:c>
      <x:c r="C394" s="5" t="str">
        <x:v>D3_FIDELITY</x:v>
      </x:c>
      <x:c r="D394" s="5" t="str">
        <x:v>mean_contributions_per_family</x:v>
      </x:c>
      <x:c r="E394" s="5" t="n">
        <x:v>31</x:v>
      </x:c>
      <x:c r="F394" s="5" t="n">
        <x:v>40</x:v>
      </x:c>
      <x:c r="G394" s="11" t="n">
        <x:f>IF(COUNTBLANK(E394:F394)&gt;0,"N/A",IF(F394=0,"N/A",E394/F394))</x:f>
        <x:v>0.775</x:v>
      </x:c>
      <x:c r="H394" s="5" t="str">
        <x:v>Silver</x:v>
      </x:c>
      <x:c r="I394" s="5" t="n">
        <x:v>40</x:v>
      </x:c>
      <x:c r="J394" s="5" t="n">
        <x:v>0</x:v>
      </x:c>
      <x:c r="K394" s="5" t="str">
        <x:v>contributions/family</x:v>
      </x:c>
      <x:c r="L394" s="5" t="str"/>
    </x:row>
    <x:row r="395" ht="20" hidden="0" customHeight="1">
      <x:c r="A395" s="5" t="str">
        <x:v>paired_full</x:v>
      </x:c>
      <x:c r="B395" s="5" t="str">
        <x:v>holdout</x:v>
      </x:c>
      <x:c r="C395" s="5" t="str">
        <x:v>D3_FIDELITY</x:v>
      </x:c>
      <x:c r="D395" s="5" t="str">
        <x:v>oversplit_contribution_rate</x:v>
      </x:c>
      <x:c r="E395" s="5" t="n">
        <x:v>2</x:v>
      </x:c>
      <x:c r="F395" s="5" t="n">
        <x:v>31</x:v>
      </x:c>
      <x:c r="G395" s="10" t="n">
        <x:f>IF(COUNTBLANK(E395:F395)&gt;0,"N/A",IF(F395=0,"N/A",E395/F395))</x:f>
        <x:v>0.06451612903225806</x:v>
      </x:c>
      <x:c r="H395" s="5" t="str">
        <x:v>Silver</x:v>
      </x:c>
      <x:c r="I395" s="5" t="n">
        <x:v>40</x:v>
      </x:c>
      <x:c r="J395" s="5" t="n">
        <x:v>0</x:v>
      </x:c>
      <x:c r="K395" s="5" t="str">
        <x:v>rate</x:v>
      </x:c>
      <x:c r="L395" s="5" t="str">
        <x:v>Auditor oversplit units / actual explicit output units; not a human error rate</x:v>
      </x:c>
    </x:row>
    <x:row r="396" ht="20" hidden="0" customHeight="1">
      <x:c r="A396" s="5" t="str">
        <x:v>paired_full</x:v>
      </x:c>
      <x:c r="B396" s="5" t="str">
        <x:v>holdout</x:v>
      </x:c>
      <x:c r="C396" s="5" t="str">
        <x:v>D3_FIDELITY</x:v>
      </x:c>
      <x:c r="D396" s="5" t="str">
        <x:v>hallucinated_contribution_rate</x:v>
      </x:c>
      <x:c r="E396" s="5" t="n">
        <x:v>0</x:v>
      </x:c>
      <x:c r="F396" s="5" t="n">
        <x:v>31</x:v>
      </x:c>
      <x:c r="G396" s="10" t="n">
        <x:f>IF(COUNTBLANK(E396:F396)&gt;0,"N/A",IF(F396=0,"N/A",E396/F396))</x:f>
        <x:v>0</x:v>
      </x:c>
      <x:c r="H396" s="5" t="str">
        <x:v>Silver</x:v>
      </x:c>
      <x:c r="I396" s="5" t="n">
        <x:v>40</x:v>
      </x:c>
      <x:c r="J396" s="5" t="n">
        <x:v>0</x:v>
      </x:c>
      <x:c r="K396" s="5" t="str">
        <x:v>rate</x:v>
      </x:c>
      <x:c r="L396" s="5" t="str"/>
    </x:row>
    <x:row r="397" ht="20" hidden="0" customHeight="1">
      <x:c r="A397" s="5" t="str">
        <x:v>paired_full</x:v>
      </x:c>
      <x:c r="B397" s="5" t="str">
        <x:v>holdout</x:v>
      </x:c>
      <x:c r="C397" s="5" t="str">
        <x:v>D3_FIDELITY</x:v>
      </x:c>
      <x:c r="D397" s="5" t="str">
        <x:v>technical_mechanism_gold_accuracy</x:v>
      </x:c>
      <x:c r="E397" s="5"/>
      <x:c r="F397" s="5"/>
      <x:c r="G397" s="10" t="str">
        <x:f>IF(COUNTBLANK(E397:F397)&gt;0,"N/A",IF(F397=0,"N/A",E397/F397))</x:f>
        <x:v>N/A</x:v>
      </x:c>
      <x:c r="H397" s="5" t="str">
        <x:v>Gold</x:v>
      </x:c>
      <x:c r="I397" s="5" t="n">
        <x:v>0</x:v>
      </x:c>
      <x:c r="J397" s="5" t="n">
        <x:v>0</x:v>
      </x:c>
      <x:c r="K397" s="5" t="str">
        <x:v>rate</x:v>
      </x:c>
      <x:c r="L397" s="5" t="str">
        <x:v>N/A: zero independent human Gold labels; AI must not be promoted to human truth</x:v>
      </x:c>
    </x:row>
    <x:row r="398" ht="20" hidden="0" customHeight="1">
      <x:c r="A398" s="5" t="str">
        <x:v>paired_full</x:v>
      </x:c>
      <x:c r="B398" s="5" t="str">
        <x:v>holdout</x:v>
      </x:c>
      <x:c r="C398" s="5" t="str">
        <x:v>D3_FIDELITY</x:v>
      </x:c>
      <x:c r="D398" s="5" t="str">
        <x:v>materials_gold_accuracy</x:v>
      </x:c>
      <x:c r="E398" s="5"/>
      <x:c r="F398" s="5"/>
      <x:c r="G398" s="10" t="str">
        <x:f>IF(COUNTBLANK(E398:F398)&gt;0,"N/A",IF(F398=0,"N/A",E398/F398))</x:f>
        <x:v>N/A</x:v>
      </x:c>
      <x:c r="H398" s="5" t="str">
        <x:v>Gold</x:v>
      </x:c>
      <x:c r="I398" s="5" t="n">
        <x:v>0</x:v>
      </x:c>
      <x:c r="J398" s="5" t="n">
        <x:v>0</x:v>
      </x:c>
      <x:c r="K398" s="5" t="str">
        <x:v>rate</x:v>
      </x:c>
      <x:c r="L398" s="5" t="str">
        <x:v>N/A: zero independent human Gold labels; AI must not be promoted to human truth</x:v>
      </x:c>
    </x:row>
    <x:row r="399" ht="20" hidden="0" customHeight="1">
      <x:c r="A399" s="5" t="str">
        <x:v>paired_full</x:v>
      </x:c>
      <x:c r="B399" s="5" t="str">
        <x:v>holdout</x:v>
      </x:c>
      <x:c r="C399" s="5" t="str">
        <x:v>D3_FIDELITY</x:v>
      </x:c>
      <x:c r="D399" s="5" t="str">
        <x:v>process_method_gold_accuracy</x:v>
      </x:c>
      <x:c r="E399" s="5"/>
      <x:c r="F399" s="5"/>
      <x:c r="G399" s="10" t="str">
        <x:f>IF(COUNTBLANK(E399:F399)&gt;0,"N/A",IF(F399=0,"N/A",E399/F399))</x:f>
        <x:v>N/A</x:v>
      </x:c>
      <x:c r="H399" s="5" t="str">
        <x:v>Gold</x:v>
      </x:c>
      <x:c r="I399" s="5" t="n">
        <x:v>0</x:v>
      </x:c>
      <x:c r="J399" s="5" t="n">
        <x:v>0</x:v>
      </x:c>
      <x:c r="K399" s="5" t="str">
        <x:v>rate</x:v>
      </x:c>
      <x:c r="L399" s="5" t="str">
        <x:v>N/A: zero independent human Gold labels; AI must not be promoted to human truth</x:v>
      </x:c>
    </x:row>
    <x:row r="400" ht="20" hidden="0" customHeight="1">
      <x:c r="A400" s="5" t="str">
        <x:v>paired_full</x:v>
      </x:c>
      <x:c r="B400" s="5" t="str">
        <x:v>holdout</x:v>
      </x:c>
      <x:c r="C400" s="5" t="str">
        <x:v>D3_FIDELITY</x:v>
      </x:c>
      <x:c r="D400" s="5" t="str">
        <x:v>parameters_gold_accuracy</x:v>
      </x:c>
      <x:c r="E400" s="5"/>
      <x:c r="F400" s="5"/>
      <x:c r="G400" s="10" t="str">
        <x:f>IF(COUNTBLANK(E400:F400)&gt;0,"N/A",IF(F400=0,"N/A",E400/F400))</x:f>
        <x:v>N/A</x:v>
      </x:c>
      <x:c r="H400" s="5" t="str">
        <x:v>Gold</x:v>
      </x:c>
      <x:c r="I400" s="5" t="n">
        <x:v>0</x:v>
      </x:c>
      <x:c r="J400" s="5" t="n">
        <x:v>0</x:v>
      </x:c>
      <x:c r="K400" s="5" t="str">
        <x:v>rate</x:v>
      </x:c>
      <x:c r="L400" s="5" t="str">
        <x:v>N/A: zero independent human Gold labels; AI must not be promoted to human truth</x:v>
      </x:c>
    </x:row>
    <x:row r="401" ht="20" hidden="0" customHeight="1">
      <x:c r="A401" s="5" t="str">
        <x:v>paired_full</x:v>
      </x:c>
      <x:c r="B401" s="5" t="str">
        <x:v>holdout</x:v>
      </x:c>
      <x:c r="C401" s="5" t="str">
        <x:v>D3_FIDELITY</x:v>
      </x:c>
      <x:c r="D401" s="5" t="str">
        <x:v>multiple_contributions_gold_accuracy</x:v>
      </x:c>
      <x:c r="E401" s="5"/>
      <x:c r="F401" s="5"/>
      <x:c r="G401" s="10" t="str">
        <x:f>IF(COUNTBLANK(E401:F401)&gt;0,"N/A",IF(F401=0,"N/A",E401/F401))</x:f>
        <x:v>N/A</x:v>
      </x:c>
      <x:c r="H401" s="5" t="str">
        <x:v>Gold</x:v>
      </x:c>
      <x:c r="I401" s="5" t="n">
        <x:v>0</x:v>
      </x:c>
      <x:c r="J401" s="5" t="n">
        <x:v>0</x:v>
      </x:c>
      <x:c r="K401" s="5" t="str">
        <x:v>rate</x:v>
      </x:c>
      <x:c r="L401" s="5" t="str">
        <x:v>N/A: zero independent human Gold labels; AI must not be promoted to human truth</x:v>
      </x:c>
    </x:row>
    <x:row r="402" ht="20" hidden="0" customHeight="1">
      <x:c r="A402" s="5" t="str">
        <x:v>paired_full</x:v>
      </x:c>
      <x:c r="B402" s="5" t="str">
        <x:v>holdout</x:v>
      </x:c>
      <x:c r="C402" s="5" t="str">
        <x:v>D3_EVIDENCE</x:v>
      </x:c>
      <x:c r="D402" s="5" t="str">
        <x:v>technical_object_correct_rate</x:v>
      </x:c>
      <x:c r="E402" s="5" t="n">
        <x:v>28</x:v>
      </x:c>
      <x:c r="F402" s="5" t="n">
        <x:v>28</x:v>
      </x:c>
      <x:c r="G402" s="10" t="n">
        <x:f>IF(COUNTBLANK(E402:F402)&gt;0,"N/A",IF(F402=0,"N/A",E402/F402))</x:f>
        <x:v>1</x:v>
      </x:c>
      <x:c r="H402" s="5" t="str">
        <x:v>Silver</x:v>
      </x:c>
      <x:c r="I402" s="5" t="n">
        <x:v>40</x:v>
      </x:c>
      <x:c r="J402" s="5" t="n">
        <x:v>12</x:v>
      </x:c>
      <x:c r="K402" s="5" t="str">
        <x:v>rate</x:v>
      </x:c>
      <x:c r="L402" s="5" t="str">
        <x:v>Correct / {Correct,Partially Correct,Incorrect}; insufficient and uncertain excluded; same-model Silver</x:v>
      </x:c>
    </x:row>
    <x:row r="403" ht="20" hidden="0" customHeight="1">
      <x:c r="A403" s="5" t="str">
        <x:v>paired_full</x:v>
      </x:c>
      <x:c r="B403" s="5" t="str">
        <x:v>holdout</x:v>
      </x:c>
      <x:c r="C403" s="5" t="str">
        <x:v>D3_EVIDENCE</x:v>
      </x:c>
      <x:c r="D403" s="5" t="str">
        <x:v>technical_object_partially_correct_rate</x:v>
      </x:c>
      <x:c r="E403" s="5" t="n">
        <x:v>0</x:v>
      </x:c>
      <x:c r="F403" s="5" t="n">
        <x:v>28</x:v>
      </x:c>
      <x:c r="G403" s="10" t="n">
        <x:f>IF(COUNTBLANK(E403:F403)&gt;0,"N/A",IF(F403=0,"N/A",E403/F403))</x:f>
        <x:v>0</x:v>
      </x:c>
      <x:c r="H403" s="5" t="str">
        <x:v>Silver</x:v>
      </x:c>
      <x:c r="I403" s="5" t="n">
        <x:v>40</x:v>
      </x:c>
      <x:c r="J403" s="5" t="n">
        <x:v>12</x:v>
      </x:c>
      <x:c r="K403" s="5" t="str">
        <x:v>rate</x:v>
      </x:c>
      <x:c r="L403" s="5" t="str"/>
    </x:row>
    <x:row r="404" ht="20" hidden="0" customHeight="1">
      <x:c r="A404" s="5" t="str">
        <x:v>paired_full</x:v>
      </x:c>
      <x:c r="B404" s="5" t="str">
        <x:v>holdout</x:v>
      </x:c>
      <x:c r="C404" s="5" t="str">
        <x:v>D3_EVIDENCE</x:v>
      </x:c>
      <x:c r="D404" s="5" t="str">
        <x:v>technical_problem_correct_rate</x:v>
      </x:c>
      <x:c r="E404" s="5" t="n">
        <x:v>19</x:v>
      </x:c>
      <x:c r="F404" s="5" t="n">
        <x:v>19</x:v>
      </x:c>
      <x:c r="G404" s="10" t="n">
        <x:f>IF(COUNTBLANK(E404:F404)&gt;0,"N/A",IF(F404=0,"N/A",E404/F404))</x:f>
        <x:v>1</x:v>
      </x:c>
      <x:c r="H404" s="5" t="str">
        <x:v>Silver</x:v>
      </x:c>
      <x:c r="I404" s="5" t="n">
        <x:v>40</x:v>
      </x:c>
      <x:c r="J404" s="5" t="n">
        <x:v>21</x:v>
      </x:c>
      <x:c r="K404" s="5" t="str">
        <x:v>rate</x:v>
      </x:c>
      <x:c r="L404" s="5" t="str">
        <x:v>Correct / {Correct,Partially Correct,Incorrect}; insufficient and uncertain excluded; same-model Silver</x:v>
      </x:c>
    </x:row>
    <x:row r="405" ht="20" hidden="0" customHeight="1">
      <x:c r="A405" s="5" t="str">
        <x:v>paired_full</x:v>
      </x:c>
      <x:c r="B405" s="5" t="str">
        <x:v>holdout</x:v>
      </x:c>
      <x:c r="C405" s="5" t="str">
        <x:v>D3_EVIDENCE</x:v>
      </x:c>
      <x:c r="D405" s="5" t="str">
        <x:v>technical_problem_partially_correct_rate</x:v>
      </x:c>
      <x:c r="E405" s="5" t="n">
        <x:v>0</x:v>
      </x:c>
      <x:c r="F405" s="5" t="n">
        <x:v>19</x:v>
      </x:c>
      <x:c r="G405" s="10" t="n">
        <x:f>IF(COUNTBLANK(E405:F405)&gt;0,"N/A",IF(F405=0,"N/A",E405/F405))</x:f>
        <x:v>0</x:v>
      </x:c>
      <x:c r="H405" s="5" t="str">
        <x:v>Silver</x:v>
      </x:c>
      <x:c r="I405" s="5" t="n">
        <x:v>40</x:v>
      </x:c>
      <x:c r="J405" s="5" t="n">
        <x:v>21</x:v>
      </x:c>
      <x:c r="K405" s="5" t="str">
        <x:v>rate</x:v>
      </x:c>
      <x:c r="L405" s="5" t="str"/>
    </x:row>
    <x:row r="406" ht="20" hidden="0" customHeight="1">
      <x:c r="A406" s="5" t="str">
        <x:v>paired_full</x:v>
      </x:c>
      <x:c r="B406" s="5" t="str">
        <x:v>holdout</x:v>
      </x:c>
      <x:c r="C406" s="5" t="str">
        <x:v>D3_EVIDENCE</x:v>
      </x:c>
      <x:c r="D406" s="5" t="str">
        <x:v>technical_mechanism_correct_rate</x:v>
      </x:c>
      <x:c r="E406" s="5" t="n">
        <x:v>25</x:v>
      </x:c>
      <x:c r="F406" s="5" t="n">
        <x:v>25</x:v>
      </x:c>
      <x:c r="G406" s="10" t="n">
        <x:f>IF(COUNTBLANK(E406:F406)&gt;0,"N/A",IF(F406=0,"N/A",E406/F406))</x:f>
        <x:v>1</x:v>
      </x:c>
      <x:c r="H406" s="5" t="str">
        <x:v>Silver</x:v>
      </x:c>
      <x:c r="I406" s="5" t="n">
        <x:v>40</x:v>
      </x:c>
      <x:c r="J406" s="5" t="n">
        <x:v>15</x:v>
      </x:c>
      <x:c r="K406" s="5" t="str">
        <x:v>rate</x:v>
      </x:c>
      <x:c r="L406" s="5" t="str">
        <x:v>Correct / {Correct,Partially Correct,Incorrect}; insufficient and uncertain excluded; same-model Silver</x:v>
      </x:c>
    </x:row>
    <x:row r="407" ht="20" hidden="0" customHeight="1">
      <x:c r="A407" s="5" t="str">
        <x:v>paired_full</x:v>
      </x:c>
      <x:c r="B407" s="5" t="str">
        <x:v>holdout</x:v>
      </x:c>
      <x:c r="C407" s="5" t="str">
        <x:v>D3_EVIDENCE</x:v>
      </x:c>
      <x:c r="D407" s="5" t="str">
        <x:v>technical_mechanism_partially_correct_rate</x:v>
      </x:c>
      <x:c r="E407" s="5" t="n">
        <x:v>0</x:v>
      </x:c>
      <x:c r="F407" s="5" t="n">
        <x:v>25</x:v>
      </x:c>
      <x:c r="G407" s="10" t="n">
        <x:f>IF(COUNTBLANK(E407:F407)&gt;0,"N/A",IF(F407=0,"N/A",E407/F407))</x:f>
        <x:v>0</x:v>
      </x:c>
      <x:c r="H407" s="5" t="str">
        <x:v>Silver</x:v>
      </x:c>
      <x:c r="I407" s="5" t="n">
        <x:v>40</x:v>
      </x:c>
      <x:c r="J407" s="5" t="n">
        <x:v>15</x:v>
      </x:c>
      <x:c r="K407" s="5" t="str">
        <x:v>rate</x:v>
      </x:c>
      <x:c r="L407" s="5" t="str"/>
    </x:row>
    <x:row r="408" ht="20" hidden="0" customHeight="1">
      <x:c r="A408" s="5" t="str">
        <x:v>paired_full</x:v>
      </x:c>
      <x:c r="B408" s="5" t="str">
        <x:v>holdout</x:v>
      </x:c>
      <x:c r="C408" s="5" t="str">
        <x:v>D3_EVIDENCE</x:v>
      </x:c>
      <x:c r="D408" s="5" t="str">
        <x:v>materials_correct_rate</x:v>
      </x:c>
      <x:c r="E408" s="5" t="n">
        <x:v>14</x:v>
      </x:c>
      <x:c r="F408" s="5" t="n">
        <x:v>19</x:v>
      </x:c>
      <x:c r="G408" s="10" t="n">
        <x:f>IF(COUNTBLANK(E408:F408)&gt;0,"N/A",IF(F408=0,"N/A",E408/F408))</x:f>
        <x:v>0.7368421052631579</x:v>
      </x:c>
      <x:c r="H408" s="5" t="str">
        <x:v>Silver</x:v>
      </x:c>
      <x:c r="I408" s="5" t="n">
        <x:v>40</x:v>
      </x:c>
      <x:c r="J408" s="5" t="n">
        <x:v>21</x:v>
      </x:c>
      <x:c r="K408" s="5" t="str">
        <x:v>rate</x:v>
      </x:c>
      <x:c r="L408" s="5" t="str">
        <x:v>Correct / {Correct,Partially Correct,Incorrect}; insufficient and uncertain excluded; same-model Silver</x:v>
      </x:c>
    </x:row>
    <x:row r="409" ht="20" hidden="0" customHeight="1">
      <x:c r="A409" s="5" t="str">
        <x:v>paired_full</x:v>
      </x:c>
      <x:c r="B409" s="5" t="str">
        <x:v>holdout</x:v>
      </x:c>
      <x:c r="C409" s="5" t="str">
        <x:v>D3_EVIDENCE</x:v>
      </x:c>
      <x:c r="D409" s="5" t="str">
        <x:v>materials_partially_correct_rate</x:v>
      </x:c>
      <x:c r="E409" s="5" t="n">
        <x:v>5</x:v>
      </x:c>
      <x:c r="F409" s="5" t="n">
        <x:v>19</x:v>
      </x:c>
      <x:c r="G409" s="10" t="n">
        <x:f>IF(COUNTBLANK(E409:F409)&gt;0,"N/A",IF(F409=0,"N/A",E409/F409))</x:f>
        <x:v>0.2631578947368421</x:v>
      </x:c>
      <x:c r="H409" s="5" t="str">
        <x:v>Silver</x:v>
      </x:c>
      <x:c r="I409" s="5" t="n">
        <x:v>40</x:v>
      </x:c>
      <x:c r="J409" s="5" t="n">
        <x:v>21</x:v>
      </x:c>
      <x:c r="K409" s="5" t="str">
        <x:v>rate</x:v>
      </x:c>
      <x:c r="L409" s="5" t="str"/>
    </x:row>
    <x:row r="410" ht="20" hidden="0" customHeight="1">
      <x:c r="A410" s="5" t="str">
        <x:v>paired_full</x:v>
      </x:c>
      <x:c r="B410" s="5" t="str">
        <x:v>holdout</x:v>
      </x:c>
      <x:c r="C410" s="5" t="str">
        <x:v>D3_EVIDENCE</x:v>
      </x:c>
      <x:c r="D410" s="5" t="str">
        <x:v>process_method_correct_rate</x:v>
      </x:c>
      <x:c r="E410" s="5" t="n">
        <x:v>15</x:v>
      </x:c>
      <x:c r="F410" s="5" t="n">
        <x:v>17</x:v>
      </x:c>
      <x:c r="G410" s="10" t="n">
        <x:f>IF(COUNTBLANK(E410:F410)&gt;0,"N/A",IF(F410=0,"N/A",E410/F410))</x:f>
        <x:v>0.8823529411764706</x:v>
      </x:c>
      <x:c r="H410" s="5" t="str">
        <x:v>Silver</x:v>
      </x:c>
      <x:c r="I410" s="5" t="n">
        <x:v>40</x:v>
      </x:c>
      <x:c r="J410" s="5" t="n">
        <x:v>23</x:v>
      </x:c>
      <x:c r="K410" s="5" t="str">
        <x:v>rate</x:v>
      </x:c>
      <x:c r="L410" s="5" t="str">
        <x:v>Correct / {Correct,Partially Correct,Incorrect}; insufficient and uncertain excluded; same-model Silver</x:v>
      </x:c>
    </x:row>
    <x:row r="411" ht="20" hidden="0" customHeight="1">
      <x:c r="A411" s="5" t="str">
        <x:v>paired_full</x:v>
      </x:c>
      <x:c r="B411" s="5" t="str">
        <x:v>holdout</x:v>
      </x:c>
      <x:c r="C411" s="5" t="str">
        <x:v>D3_EVIDENCE</x:v>
      </x:c>
      <x:c r="D411" s="5" t="str">
        <x:v>process_method_partially_correct_rate</x:v>
      </x:c>
      <x:c r="E411" s="5" t="n">
        <x:v>2</x:v>
      </x:c>
      <x:c r="F411" s="5" t="n">
        <x:v>17</x:v>
      </x:c>
      <x:c r="G411" s="10" t="n">
        <x:f>IF(COUNTBLANK(E411:F411)&gt;0,"N/A",IF(F411=0,"N/A",E411/F411))</x:f>
        <x:v>0.11764705882352941</x:v>
      </x:c>
      <x:c r="H411" s="5" t="str">
        <x:v>Silver</x:v>
      </x:c>
      <x:c r="I411" s="5" t="n">
        <x:v>40</x:v>
      </x:c>
      <x:c r="J411" s="5" t="n">
        <x:v>23</x:v>
      </x:c>
      <x:c r="K411" s="5" t="str">
        <x:v>rate</x:v>
      </x:c>
      <x:c r="L411" s="5" t="str"/>
    </x:row>
    <x:row r="412" ht="20" hidden="0" customHeight="1">
      <x:c r="A412" s="5" t="str">
        <x:v>paired_full</x:v>
      </x:c>
      <x:c r="B412" s="5" t="str">
        <x:v>holdout</x:v>
      </x:c>
      <x:c r="C412" s="5" t="str">
        <x:v>D3_EVIDENCE</x:v>
      </x:c>
      <x:c r="D412" s="5" t="str">
        <x:v>process_order_correct_rate</x:v>
      </x:c>
      <x:c r="E412" s="5" t="n">
        <x:v>5</x:v>
      </x:c>
      <x:c r="F412" s="5" t="n">
        <x:v>9</x:v>
      </x:c>
      <x:c r="G412" s="10" t="n">
        <x:f>IF(COUNTBLANK(E412:F412)&gt;0,"N/A",IF(F412=0,"N/A",E412/F412))</x:f>
        <x:v>0.5555555555555556</x:v>
      </x:c>
      <x:c r="H412" s="5" t="str">
        <x:v>Silver</x:v>
      </x:c>
      <x:c r="I412" s="5" t="n">
        <x:v>40</x:v>
      </x:c>
      <x:c r="J412" s="5" t="n">
        <x:v>31</x:v>
      </x:c>
      <x:c r="K412" s="5" t="str">
        <x:v>rate</x:v>
      </x:c>
      <x:c r="L412" s="5" t="str">
        <x:v>Correct / {Correct,Partially Correct,Incorrect}; insufficient and uncertain excluded; same-model Silver</x:v>
      </x:c>
    </x:row>
    <x:row r="413" ht="20" hidden="0" customHeight="1">
      <x:c r="A413" s="5" t="str">
        <x:v>paired_full</x:v>
      </x:c>
      <x:c r="B413" s="5" t="str">
        <x:v>holdout</x:v>
      </x:c>
      <x:c r="C413" s="5" t="str">
        <x:v>D3_EVIDENCE</x:v>
      </x:c>
      <x:c r="D413" s="5" t="str">
        <x:v>process_order_partially_correct_rate</x:v>
      </x:c>
      <x:c r="E413" s="5" t="n">
        <x:v>4</x:v>
      </x:c>
      <x:c r="F413" s="5" t="n">
        <x:v>9</x:v>
      </x:c>
      <x:c r="G413" s="10" t="n">
        <x:f>IF(COUNTBLANK(E413:F413)&gt;0,"N/A",IF(F413=0,"N/A",E413/F413))</x:f>
        <x:v>0.4444444444444444</x:v>
      </x:c>
      <x:c r="H413" s="5" t="str">
        <x:v>Silver</x:v>
      </x:c>
      <x:c r="I413" s="5" t="n">
        <x:v>40</x:v>
      </x:c>
      <x:c r="J413" s="5" t="n">
        <x:v>31</x:v>
      </x:c>
      <x:c r="K413" s="5" t="str">
        <x:v>rate</x:v>
      </x:c>
      <x:c r="L413" s="5" t="str"/>
    </x:row>
    <x:row r="414" ht="20" hidden="0" customHeight="1">
      <x:c r="A414" s="5" t="str">
        <x:v>paired_full</x:v>
      </x:c>
      <x:c r="B414" s="5" t="str">
        <x:v>holdout</x:v>
      </x:c>
      <x:c r="C414" s="5" t="str">
        <x:v>D3_EVIDENCE</x:v>
      </x:c>
      <x:c r="D414" s="5" t="str">
        <x:v>parameters_correct_rate</x:v>
      </x:c>
      <x:c r="E414" s="5" t="n">
        <x:v>7</x:v>
      </x:c>
      <x:c r="F414" s="5" t="n">
        <x:v>12</x:v>
      </x:c>
      <x:c r="G414" s="10" t="n">
        <x:f>IF(COUNTBLANK(E414:F414)&gt;0,"N/A",IF(F414=0,"N/A",E414/F414))</x:f>
        <x:v>0.5833333333333334</x:v>
      </x:c>
      <x:c r="H414" s="5" t="str">
        <x:v>Silver</x:v>
      </x:c>
      <x:c r="I414" s="5" t="n">
        <x:v>40</x:v>
      </x:c>
      <x:c r="J414" s="5" t="n">
        <x:v>28</x:v>
      </x:c>
      <x:c r="K414" s="5" t="str">
        <x:v>rate</x:v>
      </x:c>
      <x:c r="L414" s="5" t="str">
        <x:v>Correct / {Correct,Partially Correct,Incorrect}; insufficient and uncertain excluded; same-model Silver</x:v>
      </x:c>
    </x:row>
    <x:row r="415" ht="20" hidden="0" customHeight="1">
      <x:c r="A415" s="5" t="str">
        <x:v>paired_full</x:v>
      </x:c>
      <x:c r="B415" s="5" t="str">
        <x:v>holdout</x:v>
      </x:c>
      <x:c r="C415" s="5" t="str">
        <x:v>D3_EVIDENCE</x:v>
      </x:c>
      <x:c r="D415" s="5" t="str">
        <x:v>parameters_partially_correct_rate</x:v>
      </x:c>
      <x:c r="E415" s="5" t="n">
        <x:v>5</x:v>
      </x:c>
      <x:c r="F415" s="5" t="n">
        <x:v>12</x:v>
      </x:c>
      <x:c r="G415" s="10" t="n">
        <x:f>IF(COUNTBLANK(E415:F415)&gt;0,"N/A",IF(F415=0,"N/A",E415/F415))</x:f>
        <x:v>0.4166666666666667</x:v>
      </x:c>
      <x:c r="H415" s="5" t="str">
        <x:v>Silver</x:v>
      </x:c>
      <x:c r="I415" s="5" t="n">
        <x:v>40</x:v>
      </x:c>
      <x:c r="J415" s="5" t="n">
        <x:v>28</x:v>
      </x:c>
      <x:c r="K415" s="5" t="str">
        <x:v>rate</x:v>
      </x:c>
      <x:c r="L415" s="5" t="str"/>
    </x:row>
    <x:row r="416" ht="20" hidden="0" customHeight="1">
      <x:c r="A416" s="5" t="str">
        <x:v>paired_full</x:v>
      </x:c>
      <x:c r="B416" s="5" t="str">
        <x:v>holdout</x:v>
      </x:c>
      <x:c r="C416" s="5" t="str">
        <x:v>D3_EVIDENCE</x:v>
      </x:c>
      <x:c r="D416" s="5" t="str">
        <x:v>effects_correct_rate</x:v>
      </x:c>
      <x:c r="E416" s="5" t="n">
        <x:v>20</x:v>
      </x:c>
      <x:c r="F416" s="5" t="n">
        <x:v>20</x:v>
      </x:c>
      <x:c r="G416" s="10" t="n">
        <x:f>IF(COUNTBLANK(E416:F416)&gt;0,"N/A",IF(F416=0,"N/A",E416/F416))</x:f>
        <x:v>1</x:v>
      </x:c>
      <x:c r="H416" s="5" t="str">
        <x:v>Silver</x:v>
      </x:c>
      <x:c r="I416" s="5" t="n">
        <x:v>40</x:v>
      </x:c>
      <x:c r="J416" s="5" t="n">
        <x:v>20</x:v>
      </x:c>
      <x:c r="K416" s="5" t="str">
        <x:v>rate</x:v>
      </x:c>
      <x:c r="L416" s="5" t="str">
        <x:v>Correct / {Correct,Partially Correct,Incorrect}; insufficient and uncertain excluded; same-model Silver</x:v>
      </x:c>
    </x:row>
    <x:row r="417" ht="20" hidden="0" customHeight="1">
      <x:c r="A417" s="5" t="str">
        <x:v>paired_full</x:v>
      </x:c>
      <x:c r="B417" s="5" t="str">
        <x:v>holdout</x:v>
      </x:c>
      <x:c r="C417" s="5" t="str">
        <x:v>D3_EVIDENCE</x:v>
      </x:c>
      <x:c r="D417" s="5" t="str">
        <x:v>effects_partially_correct_rate</x:v>
      </x:c>
      <x:c r="E417" s="5" t="n">
        <x:v>0</x:v>
      </x:c>
      <x:c r="F417" s="5" t="n">
        <x:v>20</x:v>
      </x:c>
      <x:c r="G417" s="10" t="n">
        <x:f>IF(COUNTBLANK(E417:F417)&gt;0,"N/A",IF(F417=0,"N/A",E417/F417))</x:f>
        <x:v>0</x:v>
      </x:c>
      <x:c r="H417" s="5" t="str">
        <x:v>Silver</x:v>
      </x:c>
      <x:c r="I417" s="5" t="n">
        <x:v>40</x:v>
      </x:c>
      <x:c r="J417" s="5" t="n">
        <x:v>20</x:v>
      </x:c>
      <x:c r="K417" s="5" t="str">
        <x:v>rate</x:v>
      </x:c>
      <x:c r="L417" s="5" t="str"/>
    </x:row>
    <x:row r="418" ht="20" hidden="0" customHeight="1">
      <x:c r="A418" s="5" t="str">
        <x:v>paired_full</x:v>
      </x:c>
      <x:c r="B418" s="5" t="str">
        <x:v>holdout</x:v>
      </x:c>
      <x:c r="C418" s="5" t="str">
        <x:v>D3_EVIDENCE</x:v>
      </x:c>
      <x:c r="D418" s="5" t="str">
        <x:v>multiple_contributions_correct_rate</x:v>
      </x:c>
      <x:c r="E418" s="5" t="n">
        <x:v>25</x:v>
      </x:c>
      <x:c r="F418" s="5" t="n">
        <x:v>29</x:v>
      </x:c>
      <x:c r="G418" s="10" t="n">
        <x:f>IF(COUNTBLANK(E418:F418)&gt;0,"N/A",IF(F418=0,"N/A",E418/F418))</x:f>
        <x:v>0.8620689655172413</x:v>
      </x:c>
      <x:c r="H418" s="5" t="str">
        <x:v>Silver</x:v>
      </x:c>
      <x:c r="I418" s="5" t="n">
        <x:v>40</x:v>
      </x:c>
      <x:c r="J418" s="5" t="n">
        <x:v>11</x:v>
      </x:c>
      <x:c r="K418" s="5" t="str">
        <x:v>rate</x:v>
      </x:c>
      <x:c r="L418" s="5" t="str">
        <x:v>Correct / {Correct,Partially Correct,Incorrect}; insufficient and uncertain excluded; same-model Silver</x:v>
      </x:c>
    </x:row>
    <x:row r="419" ht="20" hidden="0" customHeight="1">
      <x:c r="A419" s="5" t="str">
        <x:v>paired_full</x:v>
      </x:c>
      <x:c r="B419" s="5" t="str">
        <x:v>holdout</x:v>
      </x:c>
      <x:c r="C419" s="5" t="str">
        <x:v>D3_EVIDENCE</x:v>
      </x:c>
      <x:c r="D419" s="5" t="str">
        <x:v>multiple_contributions_partially_correct_rate</x:v>
      </x:c>
      <x:c r="E419" s="5" t="n">
        <x:v>3</x:v>
      </x:c>
      <x:c r="F419" s="5" t="n">
        <x:v>29</x:v>
      </x:c>
      <x:c r="G419" s="10" t="n">
        <x:f>IF(COUNTBLANK(E419:F419)&gt;0,"N/A",IF(F419=0,"N/A",E419/F419))</x:f>
        <x:v>0.10344827586206896</x:v>
      </x:c>
      <x:c r="H419" s="5" t="str">
        <x:v>Silver</x:v>
      </x:c>
      <x:c r="I419" s="5" t="n">
        <x:v>40</x:v>
      </x:c>
      <x:c r="J419" s="5" t="n">
        <x:v>11</x:v>
      </x:c>
      <x:c r="K419" s="5" t="str">
        <x:v>rate</x:v>
      </x:c>
      <x:c r="L419" s="5" t="str"/>
    </x:row>
    <x:row r="420" ht="20" hidden="0" customHeight="1">
      <x:c r="A420" s="5" t="str">
        <x:v>paired_full</x:v>
      </x:c>
      <x:c r="B420" s="5" t="str">
        <x:v>holdout</x:v>
      </x:c>
      <x:c r="C420" s="5" t="str">
        <x:v>D3_EVIDENCE</x:v>
      </x:c>
      <x:c r="D420" s="5" t="str">
        <x:v>hallucination_correct_rate</x:v>
      </x:c>
      <x:c r="E420" s="5" t="n">
        <x:v>40</x:v>
      </x:c>
      <x:c r="F420" s="5" t="n">
        <x:v>40</x:v>
      </x:c>
      <x:c r="G420" s="10" t="n">
        <x:f>IF(COUNTBLANK(E420:F420)&gt;0,"N/A",IF(F420=0,"N/A",E420/F420))</x:f>
        <x:v>1</x:v>
      </x:c>
      <x:c r="H420" s="5" t="str">
        <x:v>Silver</x:v>
      </x:c>
      <x:c r="I420" s="5" t="n">
        <x:v>40</x:v>
      </x:c>
      <x:c r="J420" s="5" t="n">
        <x:v>0</x:v>
      </x:c>
      <x:c r="K420" s="5" t="str">
        <x:v>rate</x:v>
      </x:c>
      <x:c r="L420" s="5" t="str">
        <x:v>Correct / {Correct,Partially Correct,Incorrect}; insufficient and uncertain excluded; same-model Silver</x:v>
      </x:c>
    </x:row>
    <x:row r="421" ht="20" hidden="0" customHeight="1">
      <x:c r="A421" s="5" t="str">
        <x:v>paired_full</x:v>
      </x:c>
      <x:c r="B421" s="5" t="str">
        <x:v>holdout</x:v>
      </x:c>
      <x:c r="C421" s="5" t="str">
        <x:v>D3_EVIDENCE</x:v>
      </x:c>
      <x:c r="D421" s="5" t="str">
        <x:v>hallucination_partially_correct_rate</x:v>
      </x:c>
      <x:c r="E421" s="5" t="n">
        <x:v>0</x:v>
      </x:c>
      <x:c r="F421" s="5" t="n">
        <x:v>40</x:v>
      </x:c>
      <x:c r="G421" s="10" t="n">
        <x:f>IF(COUNTBLANK(E421:F421)&gt;0,"N/A",IF(F421=0,"N/A",E421/F421))</x:f>
        <x:v>0</x:v>
      </x:c>
      <x:c r="H421" s="5" t="str">
        <x:v>Silver</x:v>
      </x:c>
      <x:c r="I421" s="5" t="n">
        <x:v>40</x:v>
      </x:c>
      <x:c r="J421" s="5" t="n">
        <x:v>0</x:v>
      </x:c>
      <x:c r="K421" s="5" t="str">
        <x:v>rate</x:v>
      </x:c>
      <x:c r="L421" s="5" t="str"/>
    </x:row>
    <x:row r="422" ht="31" hidden="0" customHeight="1">
      <x:c r="A422" s="5" t="str">
        <x:v>paired_full</x:v>
      </x:c>
      <x:c r="B422" s="5" t="str">
        <x:v>holdout</x:v>
      </x:c>
      <x:c r="C422" s="5" t="str">
        <x:v>D3_EVIDENCE</x:v>
      </x:c>
      <x:c r="D422" s="5" t="str">
        <x:v>contribution_coverage</x:v>
      </x:c>
      <x:c r="E422" s="5" t="n">
        <x:v>30</x:v>
      </x:c>
      <x:c r="F422" s="5" t="n">
        <x:v>38</x:v>
      </x:c>
      <x:c r="G422" s="10" t="n">
        <x:f>IF(COUNTBLANK(E422:F422)&gt;0,"N/A",IF(F422=0,"N/A",E422/F422))</x:f>
        <x:v>0.7894736842105263</x:v>
      </x:c>
      <x:c r="H422" s="5" t="str">
        <x:v>Silver</x:v>
      </x:c>
      <x:c r="I422" s="5" t="n">
        <x:v>40</x:v>
      </x:c>
      <x:c r="J422" s="5" t="n">
        <x:v>8</x:v>
      </x:c>
      <x:c r="K422" s="5" t="str">
        <x:v>rate</x:v>
      </x:c>
      <x:c r="L422" s="5" t="str">
        <x:v>Source-reference denominators required consistent across matched configs; disagreements/zero applicability excluded</x:v>
      </x:c>
    </x:row>
    <x:row r="423" ht="31" hidden="0" customHeight="1">
      <x:c r="A423" s="5" t="str">
        <x:v>paired_full</x:v>
      </x:c>
      <x:c r="B423" s="5" t="str">
        <x:v>holdout</x:v>
      </x:c>
      <x:c r="C423" s="5" t="str">
        <x:v>D3_EVIDENCE</x:v>
      </x:c>
      <x:c r="D423" s="5" t="str">
        <x:v>material_retention</x:v>
      </x:c>
      <x:c r="E423" s="5" t="n">
        <x:v>38</x:v>
      </x:c>
      <x:c r="F423" s="5" t="n">
        <x:v>38</x:v>
      </x:c>
      <x:c r="G423" s="10" t="n">
        <x:f>IF(COUNTBLANK(E423:F423)&gt;0,"N/A",IF(F423=0,"N/A",E423/F423))</x:f>
        <x:v>1</x:v>
      </x:c>
      <x:c r="H423" s="5" t="str">
        <x:v>Silver</x:v>
      </x:c>
      <x:c r="I423" s="5" t="n">
        <x:v>40</x:v>
      </x:c>
      <x:c r="J423" s="5" t="n">
        <x:v>26</x:v>
      </x:c>
      <x:c r="K423" s="5" t="str">
        <x:v>rate</x:v>
      </x:c>
      <x:c r="L423" s="5" t="str">
        <x:v>Source-reference denominators required consistent across matched configs; disagreements/zero applicability excluded</x:v>
      </x:c>
    </x:row>
    <x:row r="424" ht="31" hidden="0" customHeight="1">
      <x:c r="A424" s="5" t="str">
        <x:v>paired_full</x:v>
      </x:c>
      <x:c r="B424" s="5" t="str">
        <x:v>holdout</x:v>
      </x:c>
      <x:c r="C424" s="5" t="str">
        <x:v>D3_EVIDENCE</x:v>
      </x:c>
      <x:c r="D424" s="5" t="str">
        <x:v>process_retention</x:v>
      </x:c>
      <x:c r="E424" s="5" t="n">
        <x:v>53</x:v>
      </x:c>
      <x:c r="F424" s="5" t="n">
        <x:v>53</x:v>
      </x:c>
      <x:c r="G424" s="10" t="n">
        <x:f>IF(COUNTBLANK(E424:F424)&gt;0,"N/A",IF(F424=0,"N/A",E424/F424))</x:f>
        <x:v>1</x:v>
      </x:c>
      <x:c r="H424" s="5" t="str">
        <x:v>Silver</x:v>
      </x:c>
      <x:c r="I424" s="5" t="n">
        <x:v>40</x:v>
      </x:c>
      <x:c r="J424" s="5" t="n">
        <x:v>25</x:v>
      </x:c>
      <x:c r="K424" s="5" t="str">
        <x:v>rate</x:v>
      </x:c>
      <x:c r="L424" s="5" t="str">
        <x:v>Source-reference denominators required consistent across matched configs; disagreements/zero applicability excluded</x:v>
      </x:c>
    </x:row>
    <x:row r="425" ht="20" hidden="0" customHeight="1">
      <x:c r="A425" s="5" t="str">
        <x:v>paired_full</x:v>
      </x:c>
      <x:c r="B425" s="5" t="str">
        <x:v>holdout</x:v>
      </x:c>
      <x:c r="C425" s="5" t="str">
        <x:v>D3_EVIDENCE</x:v>
      </x:c>
      <x:c r="D425" s="5" t="str">
        <x:v>multi_contribution_omission_rate</x:v>
      </x:c>
      <x:c r="E425" s="5" t="n">
        <x:v>1</x:v>
      </x:c>
      <x:c r="F425" s="5" t="n">
        <x:v>4</x:v>
      </x:c>
      <x:c r="G425" s="10" t="n">
        <x:f>IF(COUNTBLANK(E425:F425)&gt;0,"N/A",IF(F425=0,"N/A",E425/F425))</x:f>
        <x:v>0.25</x:v>
      </x:c>
      <x:c r="H425" s="5" t="str">
        <x:v>Silver</x:v>
      </x:c>
      <x:c r="I425" s="5" t="n">
        <x:v>40</x:v>
      </x:c>
      <x:c r="J425" s="5" t="n">
        <x:v>36</x:v>
      </x:c>
      <x:c r="K425" s="5" t="str">
        <x:v>rate</x:v>
      </x:c>
      <x:c r="L425" s="5" t="str"/>
    </x:row>
    <x:row r="426" ht="20" hidden="0" customHeight="1">
      <x:c r="A426" s="5" t="str">
        <x:v>paired_full</x:v>
      </x:c>
      <x:c r="B426" s="5" t="str">
        <x:v>holdout</x:v>
      </x:c>
      <x:c r="C426" s="5" t="str">
        <x:v>D3_EVIDENCE</x:v>
      </x:c>
      <x:c r="D426" s="5" t="str">
        <x:v>full_conclusion_support_rate</x:v>
      </x:c>
      <x:c r="E426" s="5" t="n">
        <x:v>25</x:v>
      </x:c>
      <x:c r="F426" s="5" t="n">
        <x:v>25</x:v>
      </x:c>
      <x:c r="G426" s="10" t="n">
        <x:f>IF(COUNTBLANK(E426:F426)&gt;0,"N/A",IF(F426=0,"N/A",E426/F426))</x:f>
        <x:v>1</x:v>
      </x:c>
      <x:c r="H426" s="5" t="str">
        <x:v>Silver</x:v>
      </x:c>
      <x:c r="I426" s="5" t="n">
        <x:v>40</x:v>
      </x:c>
      <x:c r="J426" s="5" t="n">
        <x:v>15</x:v>
      </x:c>
      <x:c r="K426" s="5" t="str">
        <x:v>rate</x:v>
      </x:c>
      <x:c r="L426" s="5" t="str"/>
    </x:row>
    <x:row r="427" ht="20" hidden="0" customHeight="1">
      <x:c r="A427" s="5" t="str">
        <x:v>paired_full</x:v>
      </x:c>
      <x:c r="B427" s="5" t="str">
        <x:v>holdout</x:v>
      </x:c>
      <x:c r="C427" s="5" t="str">
        <x:v>D3_EVIDENCE</x:v>
      </x:c>
      <x:c r="D427" s="5" t="str">
        <x:v>mean_contributions_per_family</x:v>
      </x:c>
      <x:c r="E427" s="5" t="n">
        <x:v>30</x:v>
      </x:c>
      <x:c r="F427" s="5" t="n">
        <x:v>40</x:v>
      </x:c>
      <x:c r="G427" s="11" t="n">
        <x:f>IF(COUNTBLANK(E427:F427)&gt;0,"N/A",IF(F427=0,"N/A",E427/F427))</x:f>
        <x:v>0.75</x:v>
      </x:c>
      <x:c r="H427" s="5" t="str">
        <x:v>Silver</x:v>
      </x:c>
      <x:c r="I427" s="5" t="n">
        <x:v>40</x:v>
      </x:c>
      <x:c r="J427" s="5" t="n">
        <x:v>0</x:v>
      </x:c>
      <x:c r="K427" s="5" t="str">
        <x:v>contributions/family</x:v>
      </x:c>
      <x:c r="L427" s="5" t="str"/>
    </x:row>
    <x:row r="428" ht="20" hidden="0" customHeight="1">
      <x:c r="A428" s="5" t="str">
        <x:v>paired_full</x:v>
      </x:c>
      <x:c r="B428" s="5" t="str">
        <x:v>holdout</x:v>
      </x:c>
      <x:c r="C428" s="5" t="str">
        <x:v>D3_EVIDENCE</x:v>
      </x:c>
      <x:c r="D428" s="5" t="str">
        <x:v>oversplit_contribution_rate</x:v>
      </x:c>
      <x:c r="E428" s="5" t="n">
        <x:v>2</x:v>
      </x:c>
      <x:c r="F428" s="5" t="n">
        <x:v>30</x:v>
      </x:c>
      <x:c r="G428" s="10" t="n">
        <x:f>IF(COUNTBLANK(E428:F428)&gt;0,"N/A",IF(F428=0,"N/A",E428/F428))</x:f>
        <x:v>0.06666666666666667</x:v>
      </x:c>
      <x:c r="H428" s="5" t="str">
        <x:v>Silver</x:v>
      </x:c>
      <x:c r="I428" s="5" t="n">
        <x:v>40</x:v>
      </x:c>
      <x:c r="J428" s="5" t="n">
        <x:v>0</x:v>
      </x:c>
      <x:c r="K428" s="5" t="str">
        <x:v>rate</x:v>
      </x:c>
      <x:c r="L428" s="5" t="str">
        <x:v>Auditor oversplit units / actual explicit output units; not a human error rate</x:v>
      </x:c>
    </x:row>
    <x:row r="429" ht="20" hidden="0" customHeight="1">
      <x:c r="A429" s="5" t="str">
        <x:v>paired_full</x:v>
      </x:c>
      <x:c r="B429" s="5" t="str">
        <x:v>holdout</x:v>
      </x:c>
      <x:c r="C429" s="5" t="str">
        <x:v>D3_EVIDENCE</x:v>
      </x:c>
      <x:c r="D429" s="5" t="str">
        <x:v>hallucinated_contribution_rate</x:v>
      </x:c>
      <x:c r="E429" s="5" t="n">
        <x:v>0</x:v>
      </x:c>
      <x:c r="F429" s="5" t="n">
        <x:v>30</x:v>
      </x:c>
      <x:c r="G429" s="10" t="n">
        <x:f>IF(COUNTBLANK(E429:F429)&gt;0,"N/A",IF(F429=0,"N/A",E429/F429))</x:f>
        <x:v>0</x:v>
      </x:c>
      <x:c r="H429" s="5" t="str">
        <x:v>Silver</x:v>
      </x:c>
      <x:c r="I429" s="5" t="n">
        <x:v>40</x:v>
      </x:c>
      <x:c r="J429" s="5" t="n">
        <x:v>0</x:v>
      </x:c>
      <x:c r="K429" s="5" t="str">
        <x:v>rate</x:v>
      </x:c>
      <x:c r="L429" s="5" t="str"/>
    </x:row>
    <x:row r="430" ht="20" hidden="0" customHeight="1">
      <x:c r="A430" s="5" t="str">
        <x:v>paired_full</x:v>
      </x:c>
      <x:c r="B430" s="5" t="str">
        <x:v>holdout</x:v>
      </x:c>
      <x:c r="C430" s="5" t="str">
        <x:v>D3_EVIDENCE</x:v>
      </x:c>
      <x:c r="D430" s="5" t="str">
        <x:v>technical_mechanism_gold_accuracy</x:v>
      </x:c>
      <x:c r="E430" s="5"/>
      <x:c r="F430" s="5"/>
      <x:c r="G430" s="10" t="str">
        <x:f>IF(COUNTBLANK(E430:F430)&gt;0,"N/A",IF(F430=0,"N/A",E430/F430))</x:f>
        <x:v>N/A</x:v>
      </x:c>
      <x:c r="H430" s="5" t="str">
        <x:v>Gold</x:v>
      </x:c>
      <x:c r="I430" s="5" t="n">
        <x:v>0</x:v>
      </x:c>
      <x:c r="J430" s="5" t="n">
        <x:v>0</x:v>
      </x:c>
      <x:c r="K430" s="5" t="str">
        <x:v>rate</x:v>
      </x:c>
      <x:c r="L430" s="5" t="str">
        <x:v>N/A: zero independent human Gold labels; AI must not be promoted to human truth</x:v>
      </x:c>
    </x:row>
    <x:row r="431" ht="20" hidden="0" customHeight="1">
      <x:c r="A431" s="5" t="str">
        <x:v>paired_full</x:v>
      </x:c>
      <x:c r="B431" s="5" t="str">
        <x:v>holdout</x:v>
      </x:c>
      <x:c r="C431" s="5" t="str">
        <x:v>D3_EVIDENCE</x:v>
      </x:c>
      <x:c r="D431" s="5" t="str">
        <x:v>materials_gold_accuracy</x:v>
      </x:c>
      <x:c r="E431" s="5"/>
      <x:c r="F431" s="5"/>
      <x:c r="G431" s="10" t="str">
        <x:f>IF(COUNTBLANK(E431:F431)&gt;0,"N/A",IF(F431=0,"N/A",E431/F431))</x:f>
        <x:v>N/A</x:v>
      </x:c>
      <x:c r="H431" s="5" t="str">
        <x:v>Gold</x:v>
      </x:c>
      <x:c r="I431" s="5" t="n">
        <x:v>0</x:v>
      </x:c>
      <x:c r="J431" s="5" t="n">
        <x:v>0</x:v>
      </x:c>
      <x:c r="K431" s="5" t="str">
        <x:v>rate</x:v>
      </x:c>
      <x:c r="L431" s="5" t="str">
        <x:v>N/A: zero independent human Gold labels; AI must not be promoted to human truth</x:v>
      </x:c>
    </x:row>
    <x:row r="432" ht="20" hidden="0" customHeight="1">
      <x:c r="A432" s="5" t="str">
        <x:v>paired_full</x:v>
      </x:c>
      <x:c r="B432" s="5" t="str">
        <x:v>holdout</x:v>
      </x:c>
      <x:c r="C432" s="5" t="str">
        <x:v>D3_EVIDENCE</x:v>
      </x:c>
      <x:c r="D432" s="5" t="str">
        <x:v>process_method_gold_accuracy</x:v>
      </x:c>
      <x:c r="E432" s="5"/>
      <x:c r="F432" s="5"/>
      <x:c r="G432" s="10" t="str">
        <x:f>IF(COUNTBLANK(E432:F432)&gt;0,"N/A",IF(F432=0,"N/A",E432/F432))</x:f>
        <x:v>N/A</x:v>
      </x:c>
      <x:c r="H432" s="5" t="str">
        <x:v>Gold</x:v>
      </x:c>
      <x:c r="I432" s="5" t="n">
        <x:v>0</x:v>
      </x:c>
      <x:c r="J432" s="5" t="n">
        <x:v>0</x:v>
      </x:c>
      <x:c r="K432" s="5" t="str">
        <x:v>rate</x:v>
      </x:c>
      <x:c r="L432" s="5" t="str">
        <x:v>N/A: zero independent human Gold labels; AI must not be promoted to human truth</x:v>
      </x:c>
    </x:row>
    <x:row r="433" ht="20" hidden="0" customHeight="1">
      <x:c r="A433" s="5" t="str">
        <x:v>paired_full</x:v>
      </x:c>
      <x:c r="B433" s="5" t="str">
        <x:v>holdout</x:v>
      </x:c>
      <x:c r="C433" s="5" t="str">
        <x:v>D3_EVIDENCE</x:v>
      </x:c>
      <x:c r="D433" s="5" t="str">
        <x:v>parameters_gold_accuracy</x:v>
      </x:c>
      <x:c r="E433" s="5"/>
      <x:c r="F433" s="5"/>
      <x:c r="G433" s="10" t="str">
        <x:f>IF(COUNTBLANK(E433:F433)&gt;0,"N/A",IF(F433=0,"N/A",E433/F433))</x:f>
        <x:v>N/A</x:v>
      </x:c>
      <x:c r="H433" s="5" t="str">
        <x:v>Gold</x:v>
      </x:c>
      <x:c r="I433" s="5" t="n">
        <x:v>0</x:v>
      </x:c>
      <x:c r="J433" s="5" t="n">
        <x:v>0</x:v>
      </x:c>
      <x:c r="K433" s="5" t="str">
        <x:v>rate</x:v>
      </x:c>
      <x:c r="L433" s="5" t="str">
        <x:v>N/A: zero independent human Gold labels; AI must not be promoted to human truth</x:v>
      </x:c>
    </x:row>
    <x:row r="434" ht="20" hidden="0" customHeight="1">
      <x:c r="A434" s="5" t="str">
        <x:v>paired_full</x:v>
      </x:c>
      <x:c r="B434" s="5" t="str">
        <x:v>holdout</x:v>
      </x:c>
      <x:c r="C434" s="5" t="str">
        <x:v>D3_EVIDENCE</x:v>
      </x:c>
      <x:c r="D434" s="5" t="str">
        <x:v>multiple_contributions_gold_accuracy</x:v>
      </x:c>
      <x:c r="E434" s="5"/>
      <x:c r="F434" s="5"/>
      <x:c r="G434" s="10" t="str">
        <x:f>IF(COUNTBLANK(E434:F434)&gt;0,"N/A",IF(F434=0,"N/A",E434/F434))</x:f>
        <x:v>N/A</x:v>
      </x:c>
      <x:c r="H434" s="5" t="str">
        <x:v>Gold</x:v>
      </x:c>
      <x:c r="I434" s="5" t="n">
        <x:v>0</x:v>
      </x:c>
      <x:c r="J434" s="5" t="n">
        <x:v>0</x:v>
      </x:c>
      <x:c r="K434" s="5" t="str">
        <x:v>rate</x:v>
      </x:c>
      <x:c r="L434" s="5" t="str">
        <x:v>N/A: zero independent human Gold labels; AI must not be promoted to human truth</x:v>
      </x:c>
    </x:row>
    <x:row r="435" ht="20" hidden="0" customHeight="1">
      <x:c r="A435" s="5" t="str">
        <x:v>paired_full</x:v>
      </x:c>
      <x:c r="B435" s="5" t="str">
        <x:v>holdout</x:v>
      </x:c>
      <x:c r="C435" s="5" t="str">
        <x:v>D3_FULL</x:v>
      </x:c>
      <x:c r="D435" s="5" t="str">
        <x:v>technical_object_correct_rate</x:v>
      </x:c>
      <x:c r="E435" s="5" t="n">
        <x:v>28</x:v>
      </x:c>
      <x:c r="F435" s="5" t="n">
        <x:v>28</x:v>
      </x:c>
      <x:c r="G435" s="10" t="n">
        <x:f>IF(COUNTBLANK(E435:F435)&gt;0,"N/A",IF(F435=0,"N/A",E435/F435))</x:f>
        <x:v>1</x:v>
      </x:c>
      <x:c r="H435" s="5" t="str">
        <x:v>Silver</x:v>
      </x:c>
      <x:c r="I435" s="5" t="n">
        <x:v>40</x:v>
      </x:c>
      <x:c r="J435" s="5" t="n">
        <x:v>12</x:v>
      </x:c>
      <x:c r="K435" s="5" t="str">
        <x:v>rate</x:v>
      </x:c>
      <x:c r="L435" s="5" t="str">
        <x:v>Correct / {Correct,Partially Correct,Incorrect}; insufficient and uncertain excluded; same-model Silver</x:v>
      </x:c>
    </x:row>
    <x:row r="436" ht="20" hidden="0" customHeight="1">
      <x:c r="A436" s="5" t="str">
        <x:v>paired_full</x:v>
      </x:c>
      <x:c r="B436" s="5" t="str">
        <x:v>holdout</x:v>
      </x:c>
      <x:c r="C436" s="5" t="str">
        <x:v>D3_FULL</x:v>
      </x:c>
      <x:c r="D436" s="5" t="str">
        <x:v>technical_object_partially_correct_rate</x:v>
      </x:c>
      <x:c r="E436" s="5" t="n">
        <x:v>0</x:v>
      </x:c>
      <x:c r="F436" s="5" t="n">
        <x:v>28</x:v>
      </x:c>
      <x:c r="G436" s="10" t="n">
        <x:f>IF(COUNTBLANK(E436:F436)&gt;0,"N/A",IF(F436=0,"N/A",E436/F436))</x:f>
        <x:v>0</x:v>
      </x:c>
      <x:c r="H436" s="5" t="str">
        <x:v>Silver</x:v>
      </x:c>
      <x:c r="I436" s="5" t="n">
        <x:v>40</x:v>
      </x:c>
      <x:c r="J436" s="5" t="n">
        <x:v>12</x:v>
      </x:c>
      <x:c r="K436" s="5" t="str">
        <x:v>rate</x:v>
      </x:c>
      <x:c r="L436" s="5" t="str"/>
    </x:row>
    <x:row r="437" ht="20" hidden="0" customHeight="1">
      <x:c r="A437" s="5" t="str">
        <x:v>paired_full</x:v>
      </x:c>
      <x:c r="B437" s="5" t="str">
        <x:v>holdout</x:v>
      </x:c>
      <x:c r="C437" s="5" t="str">
        <x:v>D3_FULL</x:v>
      </x:c>
      <x:c r="D437" s="5" t="str">
        <x:v>technical_problem_correct_rate</x:v>
      </x:c>
      <x:c r="E437" s="5" t="n">
        <x:v>19</x:v>
      </x:c>
      <x:c r="F437" s="5" t="n">
        <x:v>19</x:v>
      </x:c>
      <x:c r="G437" s="10" t="n">
        <x:f>IF(COUNTBLANK(E437:F437)&gt;0,"N/A",IF(F437=0,"N/A",E437/F437))</x:f>
        <x:v>1</x:v>
      </x:c>
      <x:c r="H437" s="5" t="str">
        <x:v>Silver</x:v>
      </x:c>
      <x:c r="I437" s="5" t="n">
        <x:v>40</x:v>
      </x:c>
      <x:c r="J437" s="5" t="n">
        <x:v>21</x:v>
      </x:c>
      <x:c r="K437" s="5" t="str">
        <x:v>rate</x:v>
      </x:c>
      <x:c r="L437" s="5" t="str">
        <x:v>Correct / {Correct,Partially Correct,Incorrect}; insufficient and uncertain excluded; same-model Silver</x:v>
      </x:c>
    </x:row>
    <x:row r="438" ht="20" hidden="0" customHeight="1">
      <x:c r="A438" s="5" t="str">
        <x:v>paired_full</x:v>
      </x:c>
      <x:c r="B438" s="5" t="str">
        <x:v>holdout</x:v>
      </x:c>
      <x:c r="C438" s="5" t="str">
        <x:v>D3_FULL</x:v>
      </x:c>
      <x:c r="D438" s="5" t="str">
        <x:v>technical_problem_partially_correct_rate</x:v>
      </x:c>
      <x:c r="E438" s="5" t="n">
        <x:v>0</x:v>
      </x:c>
      <x:c r="F438" s="5" t="n">
        <x:v>19</x:v>
      </x:c>
      <x:c r="G438" s="10" t="n">
        <x:f>IF(COUNTBLANK(E438:F438)&gt;0,"N/A",IF(F438=0,"N/A",E438/F438))</x:f>
        <x:v>0</x:v>
      </x:c>
      <x:c r="H438" s="5" t="str">
        <x:v>Silver</x:v>
      </x:c>
      <x:c r="I438" s="5" t="n">
        <x:v>40</x:v>
      </x:c>
      <x:c r="J438" s="5" t="n">
        <x:v>21</x:v>
      </x:c>
      <x:c r="K438" s="5" t="str">
        <x:v>rate</x:v>
      </x:c>
      <x:c r="L438" s="5" t="str"/>
    </x:row>
    <x:row r="439" ht="20" hidden="0" customHeight="1">
      <x:c r="A439" s="5" t="str">
        <x:v>paired_full</x:v>
      </x:c>
      <x:c r="B439" s="5" t="str">
        <x:v>holdout</x:v>
      </x:c>
      <x:c r="C439" s="5" t="str">
        <x:v>D3_FULL</x:v>
      </x:c>
      <x:c r="D439" s="5" t="str">
        <x:v>technical_mechanism_correct_rate</x:v>
      </x:c>
      <x:c r="E439" s="5" t="n">
        <x:v>25</x:v>
      </x:c>
      <x:c r="F439" s="5" t="n">
        <x:v>25</x:v>
      </x:c>
      <x:c r="G439" s="10" t="n">
        <x:f>IF(COUNTBLANK(E439:F439)&gt;0,"N/A",IF(F439=0,"N/A",E439/F439))</x:f>
        <x:v>1</x:v>
      </x:c>
      <x:c r="H439" s="5" t="str">
        <x:v>Silver</x:v>
      </x:c>
      <x:c r="I439" s="5" t="n">
        <x:v>40</x:v>
      </x:c>
      <x:c r="J439" s="5" t="n">
        <x:v>15</x:v>
      </x:c>
      <x:c r="K439" s="5" t="str">
        <x:v>rate</x:v>
      </x:c>
      <x:c r="L439" s="5" t="str">
        <x:v>Correct / {Correct,Partially Correct,Incorrect}; insufficient and uncertain excluded; same-model Silver</x:v>
      </x:c>
    </x:row>
    <x:row r="440" ht="20" hidden="0" customHeight="1">
      <x:c r="A440" s="5" t="str">
        <x:v>paired_full</x:v>
      </x:c>
      <x:c r="B440" s="5" t="str">
        <x:v>holdout</x:v>
      </x:c>
      <x:c r="C440" s="5" t="str">
        <x:v>D3_FULL</x:v>
      </x:c>
      <x:c r="D440" s="5" t="str">
        <x:v>technical_mechanism_partially_correct_rate</x:v>
      </x:c>
      <x:c r="E440" s="5" t="n">
        <x:v>0</x:v>
      </x:c>
      <x:c r="F440" s="5" t="n">
        <x:v>25</x:v>
      </x:c>
      <x:c r="G440" s="10" t="n">
        <x:f>IF(COUNTBLANK(E440:F440)&gt;0,"N/A",IF(F440=0,"N/A",E440/F440))</x:f>
        <x:v>0</x:v>
      </x:c>
      <x:c r="H440" s="5" t="str">
        <x:v>Silver</x:v>
      </x:c>
      <x:c r="I440" s="5" t="n">
        <x:v>40</x:v>
      </x:c>
      <x:c r="J440" s="5" t="n">
        <x:v>15</x:v>
      </x:c>
      <x:c r="K440" s="5" t="str">
        <x:v>rate</x:v>
      </x:c>
      <x:c r="L440" s="5" t="str"/>
    </x:row>
    <x:row r="441" ht="20" hidden="0" customHeight="1">
      <x:c r="A441" s="5" t="str">
        <x:v>paired_full</x:v>
      </x:c>
      <x:c r="B441" s="5" t="str">
        <x:v>holdout</x:v>
      </x:c>
      <x:c r="C441" s="5" t="str">
        <x:v>D3_FULL</x:v>
      </x:c>
      <x:c r="D441" s="5" t="str">
        <x:v>materials_correct_rate</x:v>
      </x:c>
      <x:c r="E441" s="5" t="n">
        <x:v>14</x:v>
      </x:c>
      <x:c r="F441" s="5" t="n">
        <x:v>19</x:v>
      </x:c>
      <x:c r="G441" s="10" t="n">
        <x:f>IF(COUNTBLANK(E441:F441)&gt;0,"N/A",IF(F441=0,"N/A",E441/F441))</x:f>
        <x:v>0.7368421052631579</x:v>
      </x:c>
      <x:c r="H441" s="5" t="str">
        <x:v>Silver</x:v>
      </x:c>
      <x:c r="I441" s="5" t="n">
        <x:v>40</x:v>
      </x:c>
      <x:c r="J441" s="5" t="n">
        <x:v>21</x:v>
      </x:c>
      <x:c r="K441" s="5" t="str">
        <x:v>rate</x:v>
      </x:c>
      <x:c r="L441" s="5" t="str">
        <x:v>Correct / {Correct,Partially Correct,Incorrect}; insufficient and uncertain excluded; same-model Silver</x:v>
      </x:c>
    </x:row>
    <x:row r="442" ht="20" hidden="0" customHeight="1">
      <x:c r="A442" s="5" t="str">
        <x:v>paired_full</x:v>
      </x:c>
      <x:c r="B442" s="5" t="str">
        <x:v>holdout</x:v>
      </x:c>
      <x:c r="C442" s="5" t="str">
        <x:v>D3_FULL</x:v>
      </x:c>
      <x:c r="D442" s="5" t="str">
        <x:v>materials_partially_correct_rate</x:v>
      </x:c>
      <x:c r="E442" s="5" t="n">
        <x:v>5</x:v>
      </x:c>
      <x:c r="F442" s="5" t="n">
        <x:v>19</x:v>
      </x:c>
      <x:c r="G442" s="10" t="n">
        <x:f>IF(COUNTBLANK(E442:F442)&gt;0,"N/A",IF(F442=0,"N/A",E442/F442))</x:f>
        <x:v>0.2631578947368421</x:v>
      </x:c>
      <x:c r="H442" s="5" t="str">
        <x:v>Silver</x:v>
      </x:c>
      <x:c r="I442" s="5" t="n">
        <x:v>40</x:v>
      </x:c>
      <x:c r="J442" s="5" t="n">
        <x:v>21</x:v>
      </x:c>
      <x:c r="K442" s="5" t="str">
        <x:v>rate</x:v>
      </x:c>
      <x:c r="L442" s="5" t="str"/>
    </x:row>
    <x:row r="443" ht="20" hidden="0" customHeight="1">
      <x:c r="A443" s="5" t="str">
        <x:v>paired_full</x:v>
      </x:c>
      <x:c r="B443" s="5" t="str">
        <x:v>holdout</x:v>
      </x:c>
      <x:c r="C443" s="5" t="str">
        <x:v>D3_FULL</x:v>
      </x:c>
      <x:c r="D443" s="5" t="str">
        <x:v>process_method_correct_rate</x:v>
      </x:c>
      <x:c r="E443" s="5" t="n">
        <x:v>15</x:v>
      </x:c>
      <x:c r="F443" s="5" t="n">
        <x:v>17</x:v>
      </x:c>
      <x:c r="G443" s="10" t="n">
        <x:f>IF(COUNTBLANK(E443:F443)&gt;0,"N/A",IF(F443=0,"N/A",E443/F443))</x:f>
        <x:v>0.8823529411764706</x:v>
      </x:c>
      <x:c r="H443" s="5" t="str">
        <x:v>Silver</x:v>
      </x:c>
      <x:c r="I443" s="5" t="n">
        <x:v>40</x:v>
      </x:c>
      <x:c r="J443" s="5" t="n">
        <x:v>23</x:v>
      </x:c>
      <x:c r="K443" s="5" t="str">
        <x:v>rate</x:v>
      </x:c>
      <x:c r="L443" s="5" t="str">
        <x:v>Correct / {Correct,Partially Correct,Incorrect}; insufficient and uncertain excluded; same-model Silver</x:v>
      </x:c>
    </x:row>
    <x:row r="444" ht="20" hidden="0" customHeight="1">
      <x:c r="A444" s="5" t="str">
        <x:v>paired_full</x:v>
      </x:c>
      <x:c r="B444" s="5" t="str">
        <x:v>holdout</x:v>
      </x:c>
      <x:c r="C444" s="5" t="str">
        <x:v>D3_FULL</x:v>
      </x:c>
      <x:c r="D444" s="5" t="str">
        <x:v>process_method_partially_correct_rate</x:v>
      </x:c>
      <x:c r="E444" s="5" t="n">
        <x:v>2</x:v>
      </x:c>
      <x:c r="F444" s="5" t="n">
        <x:v>17</x:v>
      </x:c>
      <x:c r="G444" s="10" t="n">
        <x:f>IF(COUNTBLANK(E444:F444)&gt;0,"N/A",IF(F444=0,"N/A",E444/F444))</x:f>
        <x:v>0.11764705882352941</x:v>
      </x:c>
      <x:c r="H444" s="5" t="str">
        <x:v>Silver</x:v>
      </x:c>
      <x:c r="I444" s="5" t="n">
        <x:v>40</x:v>
      </x:c>
      <x:c r="J444" s="5" t="n">
        <x:v>23</x:v>
      </x:c>
      <x:c r="K444" s="5" t="str">
        <x:v>rate</x:v>
      </x:c>
      <x:c r="L444" s="5" t="str"/>
    </x:row>
    <x:row r="445" ht="20" hidden="0" customHeight="1">
      <x:c r="A445" s="5" t="str">
        <x:v>paired_full</x:v>
      </x:c>
      <x:c r="B445" s="5" t="str">
        <x:v>holdout</x:v>
      </x:c>
      <x:c r="C445" s="5" t="str">
        <x:v>D3_FULL</x:v>
      </x:c>
      <x:c r="D445" s="5" t="str">
        <x:v>process_order_correct_rate</x:v>
      </x:c>
      <x:c r="E445" s="5" t="n">
        <x:v>5</x:v>
      </x:c>
      <x:c r="F445" s="5" t="n">
        <x:v>9</x:v>
      </x:c>
      <x:c r="G445" s="10" t="n">
        <x:f>IF(COUNTBLANK(E445:F445)&gt;0,"N/A",IF(F445=0,"N/A",E445/F445))</x:f>
        <x:v>0.5555555555555556</x:v>
      </x:c>
      <x:c r="H445" s="5" t="str">
        <x:v>Silver</x:v>
      </x:c>
      <x:c r="I445" s="5" t="n">
        <x:v>40</x:v>
      </x:c>
      <x:c r="J445" s="5" t="n">
        <x:v>31</x:v>
      </x:c>
      <x:c r="K445" s="5" t="str">
        <x:v>rate</x:v>
      </x:c>
      <x:c r="L445" s="5" t="str">
        <x:v>Correct / {Correct,Partially Correct,Incorrect}; insufficient and uncertain excluded; same-model Silver</x:v>
      </x:c>
    </x:row>
    <x:row r="446" ht="20" hidden="0" customHeight="1">
      <x:c r="A446" s="5" t="str">
        <x:v>paired_full</x:v>
      </x:c>
      <x:c r="B446" s="5" t="str">
        <x:v>holdout</x:v>
      </x:c>
      <x:c r="C446" s="5" t="str">
        <x:v>D3_FULL</x:v>
      </x:c>
      <x:c r="D446" s="5" t="str">
        <x:v>process_order_partially_correct_rate</x:v>
      </x:c>
      <x:c r="E446" s="5" t="n">
        <x:v>4</x:v>
      </x:c>
      <x:c r="F446" s="5" t="n">
        <x:v>9</x:v>
      </x:c>
      <x:c r="G446" s="10" t="n">
        <x:f>IF(COUNTBLANK(E446:F446)&gt;0,"N/A",IF(F446=0,"N/A",E446/F446))</x:f>
        <x:v>0.4444444444444444</x:v>
      </x:c>
      <x:c r="H446" s="5" t="str">
        <x:v>Silver</x:v>
      </x:c>
      <x:c r="I446" s="5" t="n">
        <x:v>40</x:v>
      </x:c>
      <x:c r="J446" s="5" t="n">
        <x:v>31</x:v>
      </x:c>
      <x:c r="K446" s="5" t="str">
        <x:v>rate</x:v>
      </x:c>
      <x:c r="L446" s="5" t="str"/>
    </x:row>
    <x:row r="447" ht="20" hidden="0" customHeight="1">
      <x:c r="A447" s="5" t="str">
        <x:v>paired_full</x:v>
      </x:c>
      <x:c r="B447" s="5" t="str">
        <x:v>holdout</x:v>
      </x:c>
      <x:c r="C447" s="5" t="str">
        <x:v>D3_FULL</x:v>
      </x:c>
      <x:c r="D447" s="5" t="str">
        <x:v>parameters_correct_rate</x:v>
      </x:c>
      <x:c r="E447" s="5" t="n">
        <x:v>7</x:v>
      </x:c>
      <x:c r="F447" s="5" t="n">
        <x:v>12</x:v>
      </x:c>
      <x:c r="G447" s="10" t="n">
        <x:f>IF(COUNTBLANK(E447:F447)&gt;0,"N/A",IF(F447=0,"N/A",E447/F447))</x:f>
        <x:v>0.5833333333333334</x:v>
      </x:c>
      <x:c r="H447" s="5" t="str">
        <x:v>Silver</x:v>
      </x:c>
      <x:c r="I447" s="5" t="n">
        <x:v>40</x:v>
      </x:c>
      <x:c r="J447" s="5" t="n">
        <x:v>28</x:v>
      </x:c>
      <x:c r="K447" s="5" t="str">
        <x:v>rate</x:v>
      </x:c>
      <x:c r="L447" s="5" t="str">
        <x:v>Correct / {Correct,Partially Correct,Incorrect}; insufficient and uncertain excluded; same-model Silver</x:v>
      </x:c>
    </x:row>
    <x:row r="448" ht="20" hidden="0" customHeight="1">
      <x:c r="A448" s="5" t="str">
        <x:v>paired_full</x:v>
      </x:c>
      <x:c r="B448" s="5" t="str">
        <x:v>holdout</x:v>
      </x:c>
      <x:c r="C448" s="5" t="str">
        <x:v>D3_FULL</x:v>
      </x:c>
      <x:c r="D448" s="5" t="str">
        <x:v>parameters_partially_correct_rate</x:v>
      </x:c>
      <x:c r="E448" s="5" t="n">
        <x:v>5</x:v>
      </x:c>
      <x:c r="F448" s="5" t="n">
        <x:v>12</x:v>
      </x:c>
      <x:c r="G448" s="10" t="n">
        <x:f>IF(COUNTBLANK(E448:F448)&gt;0,"N/A",IF(F448=0,"N/A",E448/F448))</x:f>
        <x:v>0.4166666666666667</x:v>
      </x:c>
      <x:c r="H448" s="5" t="str">
        <x:v>Silver</x:v>
      </x:c>
      <x:c r="I448" s="5" t="n">
        <x:v>40</x:v>
      </x:c>
      <x:c r="J448" s="5" t="n">
        <x:v>28</x:v>
      </x:c>
      <x:c r="K448" s="5" t="str">
        <x:v>rate</x:v>
      </x:c>
      <x:c r="L448" s="5" t="str"/>
    </x:row>
    <x:row r="449" ht="20" hidden="0" customHeight="1">
      <x:c r="A449" s="5" t="str">
        <x:v>paired_full</x:v>
      </x:c>
      <x:c r="B449" s="5" t="str">
        <x:v>holdout</x:v>
      </x:c>
      <x:c r="C449" s="5" t="str">
        <x:v>D3_FULL</x:v>
      </x:c>
      <x:c r="D449" s="5" t="str">
        <x:v>effects_correct_rate</x:v>
      </x:c>
      <x:c r="E449" s="5" t="n">
        <x:v>20</x:v>
      </x:c>
      <x:c r="F449" s="5" t="n">
        <x:v>20</x:v>
      </x:c>
      <x:c r="G449" s="10" t="n">
        <x:f>IF(COUNTBLANK(E449:F449)&gt;0,"N/A",IF(F449=0,"N/A",E449/F449))</x:f>
        <x:v>1</x:v>
      </x:c>
      <x:c r="H449" s="5" t="str">
        <x:v>Silver</x:v>
      </x:c>
      <x:c r="I449" s="5" t="n">
        <x:v>40</x:v>
      </x:c>
      <x:c r="J449" s="5" t="n">
        <x:v>20</x:v>
      </x:c>
      <x:c r="K449" s="5" t="str">
        <x:v>rate</x:v>
      </x:c>
      <x:c r="L449" s="5" t="str">
        <x:v>Correct / {Correct,Partially Correct,Incorrect}; insufficient and uncertain excluded; same-model Silver</x:v>
      </x:c>
    </x:row>
    <x:row r="450" ht="20" hidden="0" customHeight="1">
      <x:c r="A450" s="5" t="str">
        <x:v>paired_full</x:v>
      </x:c>
      <x:c r="B450" s="5" t="str">
        <x:v>holdout</x:v>
      </x:c>
      <x:c r="C450" s="5" t="str">
        <x:v>D3_FULL</x:v>
      </x:c>
      <x:c r="D450" s="5" t="str">
        <x:v>effects_partially_correct_rate</x:v>
      </x:c>
      <x:c r="E450" s="5" t="n">
        <x:v>0</x:v>
      </x:c>
      <x:c r="F450" s="5" t="n">
        <x:v>20</x:v>
      </x:c>
      <x:c r="G450" s="10" t="n">
        <x:f>IF(COUNTBLANK(E450:F450)&gt;0,"N/A",IF(F450=0,"N/A",E450/F450))</x:f>
        <x:v>0</x:v>
      </x:c>
      <x:c r="H450" s="5" t="str">
        <x:v>Silver</x:v>
      </x:c>
      <x:c r="I450" s="5" t="n">
        <x:v>40</x:v>
      </x:c>
      <x:c r="J450" s="5" t="n">
        <x:v>20</x:v>
      </x:c>
      <x:c r="K450" s="5" t="str">
        <x:v>rate</x:v>
      </x:c>
      <x:c r="L450" s="5" t="str"/>
    </x:row>
    <x:row r="451" ht="20" hidden="0" customHeight="1">
      <x:c r="A451" s="5" t="str">
        <x:v>paired_full</x:v>
      </x:c>
      <x:c r="B451" s="5" t="str">
        <x:v>holdout</x:v>
      </x:c>
      <x:c r="C451" s="5" t="str">
        <x:v>D3_FULL</x:v>
      </x:c>
      <x:c r="D451" s="5" t="str">
        <x:v>multiple_contributions_correct_rate</x:v>
      </x:c>
      <x:c r="E451" s="5" t="n">
        <x:v>25</x:v>
      </x:c>
      <x:c r="F451" s="5" t="n">
        <x:v>29</x:v>
      </x:c>
      <x:c r="G451" s="10" t="n">
        <x:f>IF(COUNTBLANK(E451:F451)&gt;0,"N/A",IF(F451=0,"N/A",E451/F451))</x:f>
        <x:v>0.8620689655172413</x:v>
      </x:c>
      <x:c r="H451" s="5" t="str">
        <x:v>Silver</x:v>
      </x:c>
      <x:c r="I451" s="5" t="n">
        <x:v>40</x:v>
      </x:c>
      <x:c r="J451" s="5" t="n">
        <x:v>11</x:v>
      </x:c>
      <x:c r="K451" s="5" t="str">
        <x:v>rate</x:v>
      </x:c>
      <x:c r="L451" s="5" t="str">
        <x:v>Correct / {Correct,Partially Correct,Incorrect}; insufficient and uncertain excluded; same-model Silver</x:v>
      </x:c>
    </x:row>
    <x:row r="452" ht="20" hidden="0" customHeight="1">
      <x:c r="A452" s="5" t="str">
        <x:v>paired_full</x:v>
      </x:c>
      <x:c r="B452" s="5" t="str">
        <x:v>holdout</x:v>
      </x:c>
      <x:c r="C452" s="5" t="str">
        <x:v>D3_FULL</x:v>
      </x:c>
      <x:c r="D452" s="5" t="str">
        <x:v>multiple_contributions_partially_correct_rate</x:v>
      </x:c>
      <x:c r="E452" s="5" t="n">
        <x:v>3</x:v>
      </x:c>
      <x:c r="F452" s="5" t="n">
        <x:v>29</x:v>
      </x:c>
      <x:c r="G452" s="10" t="n">
        <x:f>IF(COUNTBLANK(E452:F452)&gt;0,"N/A",IF(F452=0,"N/A",E452/F452))</x:f>
        <x:v>0.10344827586206896</x:v>
      </x:c>
      <x:c r="H452" s="5" t="str">
        <x:v>Silver</x:v>
      </x:c>
      <x:c r="I452" s="5" t="n">
        <x:v>40</x:v>
      </x:c>
      <x:c r="J452" s="5" t="n">
        <x:v>11</x:v>
      </x:c>
      <x:c r="K452" s="5" t="str">
        <x:v>rate</x:v>
      </x:c>
      <x:c r="L452" s="5" t="str"/>
    </x:row>
    <x:row r="453" ht="20" hidden="0" customHeight="1">
      <x:c r="A453" s="5" t="str">
        <x:v>paired_full</x:v>
      </x:c>
      <x:c r="B453" s="5" t="str">
        <x:v>holdout</x:v>
      </x:c>
      <x:c r="C453" s="5" t="str">
        <x:v>D3_FULL</x:v>
      </x:c>
      <x:c r="D453" s="5" t="str">
        <x:v>hallucination_correct_rate</x:v>
      </x:c>
      <x:c r="E453" s="5" t="n">
        <x:v>40</x:v>
      </x:c>
      <x:c r="F453" s="5" t="n">
        <x:v>40</x:v>
      </x:c>
      <x:c r="G453" s="10" t="n">
        <x:f>IF(COUNTBLANK(E453:F453)&gt;0,"N/A",IF(F453=0,"N/A",E453/F453))</x:f>
        <x:v>1</x:v>
      </x:c>
      <x:c r="H453" s="5" t="str">
        <x:v>Silver</x:v>
      </x:c>
      <x:c r="I453" s="5" t="n">
        <x:v>40</x:v>
      </x:c>
      <x:c r="J453" s="5" t="n">
        <x:v>0</x:v>
      </x:c>
      <x:c r="K453" s="5" t="str">
        <x:v>rate</x:v>
      </x:c>
      <x:c r="L453" s="5" t="str">
        <x:v>Correct / {Correct,Partially Correct,Incorrect}; insufficient and uncertain excluded; same-model Silver</x:v>
      </x:c>
    </x:row>
    <x:row r="454" ht="20" hidden="0" customHeight="1">
      <x:c r="A454" s="5" t="str">
        <x:v>paired_full</x:v>
      </x:c>
      <x:c r="B454" s="5" t="str">
        <x:v>holdout</x:v>
      </x:c>
      <x:c r="C454" s="5" t="str">
        <x:v>D3_FULL</x:v>
      </x:c>
      <x:c r="D454" s="5" t="str">
        <x:v>hallucination_partially_correct_rate</x:v>
      </x:c>
      <x:c r="E454" s="5" t="n">
        <x:v>0</x:v>
      </x:c>
      <x:c r="F454" s="5" t="n">
        <x:v>40</x:v>
      </x:c>
      <x:c r="G454" s="10" t="n">
        <x:f>IF(COUNTBLANK(E454:F454)&gt;0,"N/A",IF(F454=0,"N/A",E454/F454))</x:f>
        <x:v>0</x:v>
      </x:c>
      <x:c r="H454" s="5" t="str">
        <x:v>Silver</x:v>
      </x:c>
      <x:c r="I454" s="5" t="n">
        <x:v>40</x:v>
      </x:c>
      <x:c r="J454" s="5" t="n">
        <x:v>0</x:v>
      </x:c>
      <x:c r="K454" s="5" t="str">
        <x:v>rate</x:v>
      </x:c>
      <x:c r="L454" s="5" t="str"/>
    </x:row>
    <x:row r="455" ht="31" hidden="0" customHeight="1">
      <x:c r="A455" s="5" t="str">
        <x:v>paired_full</x:v>
      </x:c>
      <x:c r="B455" s="5" t="str">
        <x:v>holdout</x:v>
      </x:c>
      <x:c r="C455" s="5" t="str">
        <x:v>D3_FULL</x:v>
      </x:c>
      <x:c r="D455" s="5" t="str">
        <x:v>contribution_coverage</x:v>
      </x:c>
      <x:c r="E455" s="5" t="n">
        <x:v>30</x:v>
      </x:c>
      <x:c r="F455" s="5" t="n">
        <x:v>38</x:v>
      </x:c>
      <x:c r="G455" s="10" t="n">
        <x:f>IF(COUNTBLANK(E455:F455)&gt;0,"N/A",IF(F455=0,"N/A",E455/F455))</x:f>
        <x:v>0.7894736842105263</x:v>
      </x:c>
      <x:c r="H455" s="5" t="str">
        <x:v>Silver</x:v>
      </x:c>
      <x:c r="I455" s="5" t="n">
        <x:v>40</x:v>
      </x:c>
      <x:c r="J455" s="5" t="n">
        <x:v>8</x:v>
      </x:c>
      <x:c r="K455" s="5" t="str">
        <x:v>rate</x:v>
      </x:c>
      <x:c r="L455" s="5" t="str">
        <x:v>Source-reference denominators required consistent across matched configs; disagreements/zero applicability excluded</x:v>
      </x:c>
    </x:row>
    <x:row r="456" ht="31" hidden="0" customHeight="1">
      <x:c r="A456" s="5" t="str">
        <x:v>paired_full</x:v>
      </x:c>
      <x:c r="B456" s="5" t="str">
        <x:v>holdout</x:v>
      </x:c>
      <x:c r="C456" s="5" t="str">
        <x:v>D3_FULL</x:v>
      </x:c>
      <x:c r="D456" s="5" t="str">
        <x:v>material_retention</x:v>
      </x:c>
      <x:c r="E456" s="5" t="n">
        <x:v>38</x:v>
      </x:c>
      <x:c r="F456" s="5" t="n">
        <x:v>38</x:v>
      </x:c>
      <x:c r="G456" s="10" t="n">
        <x:f>IF(COUNTBLANK(E456:F456)&gt;0,"N/A",IF(F456=0,"N/A",E456/F456))</x:f>
        <x:v>1</x:v>
      </x:c>
      <x:c r="H456" s="5" t="str">
        <x:v>Silver</x:v>
      </x:c>
      <x:c r="I456" s="5" t="n">
        <x:v>40</x:v>
      </x:c>
      <x:c r="J456" s="5" t="n">
        <x:v>26</x:v>
      </x:c>
      <x:c r="K456" s="5" t="str">
        <x:v>rate</x:v>
      </x:c>
      <x:c r="L456" s="5" t="str">
        <x:v>Source-reference denominators required consistent across matched configs; disagreements/zero applicability excluded</x:v>
      </x:c>
    </x:row>
    <x:row r="457" ht="31" hidden="0" customHeight="1">
      <x:c r="A457" s="5" t="str">
        <x:v>paired_full</x:v>
      </x:c>
      <x:c r="B457" s="5" t="str">
        <x:v>holdout</x:v>
      </x:c>
      <x:c r="C457" s="5" t="str">
        <x:v>D3_FULL</x:v>
      </x:c>
      <x:c r="D457" s="5" t="str">
        <x:v>process_retention</x:v>
      </x:c>
      <x:c r="E457" s="5" t="n">
        <x:v>53</x:v>
      </x:c>
      <x:c r="F457" s="5" t="n">
        <x:v>53</x:v>
      </x:c>
      <x:c r="G457" s="10" t="n">
        <x:f>IF(COUNTBLANK(E457:F457)&gt;0,"N/A",IF(F457=0,"N/A",E457/F457))</x:f>
        <x:v>1</x:v>
      </x:c>
      <x:c r="H457" s="5" t="str">
        <x:v>Silver</x:v>
      </x:c>
      <x:c r="I457" s="5" t="n">
        <x:v>40</x:v>
      </x:c>
      <x:c r="J457" s="5" t="n">
        <x:v>25</x:v>
      </x:c>
      <x:c r="K457" s="5" t="str">
        <x:v>rate</x:v>
      </x:c>
      <x:c r="L457" s="5" t="str">
        <x:v>Source-reference denominators required consistent across matched configs; disagreements/zero applicability excluded</x:v>
      </x:c>
    </x:row>
    <x:row r="458" ht="20" hidden="0" customHeight="1">
      <x:c r="A458" s="5" t="str">
        <x:v>paired_full</x:v>
      </x:c>
      <x:c r="B458" s="5" t="str">
        <x:v>holdout</x:v>
      </x:c>
      <x:c r="C458" s="5" t="str">
        <x:v>D3_FULL</x:v>
      </x:c>
      <x:c r="D458" s="5" t="str">
        <x:v>multi_contribution_omission_rate</x:v>
      </x:c>
      <x:c r="E458" s="5" t="n">
        <x:v>1</x:v>
      </x:c>
      <x:c r="F458" s="5" t="n">
        <x:v>4</x:v>
      </x:c>
      <x:c r="G458" s="10" t="n">
        <x:f>IF(COUNTBLANK(E458:F458)&gt;0,"N/A",IF(F458=0,"N/A",E458/F458))</x:f>
        <x:v>0.25</x:v>
      </x:c>
      <x:c r="H458" s="5" t="str">
        <x:v>Silver</x:v>
      </x:c>
      <x:c r="I458" s="5" t="n">
        <x:v>40</x:v>
      </x:c>
      <x:c r="J458" s="5" t="n">
        <x:v>36</x:v>
      </x:c>
      <x:c r="K458" s="5" t="str">
        <x:v>rate</x:v>
      </x:c>
      <x:c r="L458" s="5" t="str"/>
    </x:row>
    <x:row r="459" ht="20" hidden="0" customHeight="1">
      <x:c r="A459" s="5" t="str">
        <x:v>paired_full</x:v>
      </x:c>
      <x:c r="B459" s="5" t="str">
        <x:v>holdout</x:v>
      </x:c>
      <x:c r="C459" s="5" t="str">
        <x:v>D3_FULL</x:v>
      </x:c>
      <x:c r="D459" s="5" t="str">
        <x:v>full_conclusion_support_rate</x:v>
      </x:c>
      <x:c r="E459" s="5" t="n">
        <x:v>25</x:v>
      </x:c>
      <x:c r="F459" s="5" t="n">
        <x:v>25</x:v>
      </x:c>
      <x:c r="G459" s="10" t="n">
        <x:f>IF(COUNTBLANK(E459:F459)&gt;0,"N/A",IF(F459=0,"N/A",E459/F459))</x:f>
        <x:v>1</x:v>
      </x:c>
      <x:c r="H459" s="5" t="str">
        <x:v>Silver</x:v>
      </x:c>
      <x:c r="I459" s="5" t="n">
        <x:v>40</x:v>
      </x:c>
      <x:c r="J459" s="5" t="n">
        <x:v>15</x:v>
      </x:c>
      <x:c r="K459" s="5" t="str">
        <x:v>rate</x:v>
      </x:c>
      <x:c r="L459" s="5" t="str"/>
    </x:row>
    <x:row r="460" ht="20" hidden="0" customHeight="1">
      <x:c r="A460" s="5" t="str">
        <x:v>paired_full</x:v>
      </x:c>
      <x:c r="B460" s="5" t="str">
        <x:v>holdout</x:v>
      </x:c>
      <x:c r="C460" s="5" t="str">
        <x:v>D3_FULL</x:v>
      </x:c>
      <x:c r="D460" s="5" t="str">
        <x:v>mean_contributions_per_family</x:v>
      </x:c>
      <x:c r="E460" s="5" t="n">
        <x:v>30</x:v>
      </x:c>
      <x:c r="F460" s="5" t="n">
        <x:v>40</x:v>
      </x:c>
      <x:c r="G460" s="11" t="n">
        <x:f>IF(COUNTBLANK(E460:F460)&gt;0,"N/A",IF(F460=0,"N/A",E460/F460))</x:f>
        <x:v>0.75</x:v>
      </x:c>
      <x:c r="H460" s="5" t="str">
        <x:v>Silver</x:v>
      </x:c>
      <x:c r="I460" s="5" t="n">
        <x:v>40</x:v>
      </x:c>
      <x:c r="J460" s="5" t="n">
        <x:v>0</x:v>
      </x:c>
      <x:c r="K460" s="5" t="str">
        <x:v>contributions/family</x:v>
      </x:c>
      <x:c r="L460" s="5" t="str"/>
    </x:row>
    <x:row r="461" ht="20" hidden="0" customHeight="1">
      <x:c r="A461" s="5" t="str">
        <x:v>paired_full</x:v>
      </x:c>
      <x:c r="B461" s="5" t="str">
        <x:v>holdout</x:v>
      </x:c>
      <x:c r="C461" s="5" t="str">
        <x:v>D3_FULL</x:v>
      </x:c>
      <x:c r="D461" s="5" t="str">
        <x:v>oversplit_contribution_rate</x:v>
      </x:c>
      <x:c r="E461" s="5" t="n">
        <x:v>2</x:v>
      </x:c>
      <x:c r="F461" s="5" t="n">
        <x:v>30</x:v>
      </x:c>
      <x:c r="G461" s="10" t="n">
        <x:f>IF(COUNTBLANK(E461:F461)&gt;0,"N/A",IF(F461=0,"N/A",E461/F461))</x:f>
        <x:v>0.06666666666666667</x:v>
      </x:c>
      <x:c r="H461" s="5" t="str">
        <x:v>Silver</x:v>
      </x:c>
      <x:c r="I461" s="5" t="n">
        <x:v>40</x:v>
      </x:c>
      <x:c r="J461" s="5" t="n">
        <x:v>0</x:v>
      </x:c>
      <x:c r="K461" s="5" t="str">
        <x:v>rate</x:v>
      </x:c>
      <x:c r="L461" s="5" t="str">
        <x:v>Auditor oversplit units / actual explicit output units; not a human error rate</x:v>
      </x:c>
    </x:row>
    <x:row r="462" ht="20" hidden="0" customHeight="1">
      <x:c r="A462" s="5" t="str">
        <x:v>paired_full</x:v>
      </x:c>
      <x:c r="B462" s="5" t="str">
        <x:v>holdout</x:v>
      </x:c>
      <x:c r="C462" s="5" t="str">
        <x:v>D3_FULL</x:v>
      </x:c>
      <x:c r="D462" s="5" t="str">
        <x:v>hallucinated_contribution_rate</x:v>
      </x:c>
      <x:c r="E462" s="5" t="n">
        <x:v>0</x:v>
      </x:c>
      <x:c r="F462" s="5" t="n">
        <x:v>30</x:v>
      </x:c>
      <x:c r="G462" s="10" t="n">
        <x:f>IF(COUNTBLANK(E462:F462)&gt;0,"N/A",IF(F462=0,"N/A",E462/F462))</x:f>
        <x:v>0</x:v>
      </x:c>
      <x:c r="H462" s="5" t="str">
        <x:v>Silver</x:v>
      </x:c>
      <x:c r="I462" s="5" t="n">
        <x:v>40</x:v>
      </x:c>
      <x:c r="J462" s="5" t="n">
        <x:v>0</x:v>
      </x:c>
      <x:c r="K462" s="5" t="str">
        <x:v>rate</x:v>
      </x:c>
      <x:c r="L462" s="5" t="str"/>
    </x:row>
    <x:row r="463" ht="20" hidden="0" customHeight="1">
      <x:c r="A463" s="5" t="str">
        <x:v>paired_full</x:v>
      </x:c>
      <x:c r="B463" s="5" t="str">
        <x:v>holdout</x:v>
      </x:c>
      <x:c r="C463" s="5" t="str">
        <x:v>D3_FULL</x:v>
      </x:c>
      <x:c r="D463" s="5" t="str">
        <x:v>technical_mechanism_gold_accuracy</x:v>
      </x:c>
      <x:c r="E463" s="5"/>
      <x:c r="F463" s="5"/>
      <x:c r="G463" s="10" t="str">
        <x:f>IF(COUNTBLANK(E463:F463)&gt;0,"N/A",IF(F463=0,"N/A",E463/F463))</x:f>
        <x:v>N/A</x:v>
      </x:c>
      <x:c r="H463" s="5" t="str">
        <x:v>Gold</x:v>
      </x:c>
      <x:c r="I463" s="5" t="n">
        <x:v>0</x:v>
      </x:c>
      <x:c r="J463" s="5" t="n">
        <x:v>0</x:v>
      </x:c>
      <x:c r="K463" s="5" t="str">
        <x:v>rate</x:v>
      </x:c>
      <x:c r="L463" s="5" t="str">
        <x:v>N/A: zero independent human Gold labels; AI must not be promoted to human truth</x:v>
      </x:c>
    </x:row>
    <x:row r="464" ht="20" hidden="0" customHeight="1">
      <x:c r="A464" s="5" t="str">
        <x:v>paired_full</x:v>
      </x:c>
      <x:c r="B464" s="5" t="str">
        <x:v>holdout</x:v>
      </x:c>
      <x:c r="C464" s="5" t="str">
        <x:v>D3_FULL</x:v>
      </x:c>
      <x:c r="D464" s="5" t="str">
        <x:v>materials_gold_accuracy</x:v>
      </x:c>
      <x:c r="E464" s="5"/>
      <x:c r="F464" s="5"/>
      <x:c r="G464" s="10" t="str">
        <x:f>IF(COUNTBLANK(E464:F464)&gt;0,"N/A",IF(F464=0,"N/A",E464/F464))</x:f>
        <x:v>N/A</x:v>
      </x:c>
      <x:c r="H464" s="5" t="str">
        <x:v>Gold</x:v>
      </x:c>
      <x:c r="I464" s="5" t="n">
        <x:v>0</x:v>
      </x:c>
      <x:c r="J464" s="5" t="n">
        <x:v>0</x:v>
      </x:c>
      <x:c r="K464" s="5" t="str">
        <x:v>rate</x:v>
      </x:c>
      <x:c r="L464" s="5" t="str">
        <x:v>N/A: zero independent human Gold labels; AI must not be promoted to human truth</x:v>
      </x:c>
    </x:row>
    <x:row r="465" ht="20" hidden="0" customHeight="1">
      <x:c r="A465" s="5" t="str">
        <x:v>paired_full</x:v>
      </x:c>
      <x:c r="B465" s="5" t="str">
        <x:v>holdout</x:v>
      </x:c>
      <x:c r="C465" s="5" t="str">
        <x:v>D3_FULL</x:v>
      </x:c>
      <x:c r="D465" s="5" t="str">
        <x:v>process_method_gold_accuracy</x:v>
      </x:c>
      <x:c r="E465" s="5"/>
      <x:c r="F465" s="5"/>
      <x:c r="G465" s="10" t="str">
        <x:f>IF(COUNTBLANK(E465:F465)&gt;0,"N/A",IF(F465=0,"N/A",E465/F465))</x:f>
        <x:v>N/A</x:v>
      </x:c>
      <x:c r="H465" s="5" t="str">
        <x:v>Gold</x:v>
      </x:c>
      <x:c r="I465" s="5" t="n">
        <x:v>0</x:v>
      </x:c>
      <x:c r="J465" s="5" t="n">
        <x:v>0</x:v>
      </x:c>
      <x:c r="K465" s="5" t="str">
        <x:v>rate</x:v>
      </x:c>
      <x:c r="L465" s="5" t="str">
        <x:v>N/A: zero independent human Gold labels; AI must not be promoted to human truth</x:v>
      </x:c>
    </x:row>
    <x:row r="466" ht="20" hidden="0" customHeight="1">
      <x:c r="A466" s="5" t="str">
        <x:v>paired_full</x:v>
      </x:c>
      <x:c r="B466" s="5" t="str">
        <x:v>holdout</x:v>
      </x:c>
      <x:c r="C466" s="5" t="str">
        <x:v>D3_FULL</x:v>
      </x:c>
      <x:c r="D466" s="5" t="str">
        <x:v>parameters_gold_accuracy</x:v>
      </x:c>
      <x:c r="E466" s="5"/>
      <x:c r="F466" s="5"/>
      <x:c r="G466" s="10" t="str">
        <x:f>IF(COUNTBLANK(E466:F466)&gt;0,"N/A",IF(F466=0,"N/A",E466/F466))</x:f>
        <x:v>N/A</x:v>
      </x:c>
      <x:c r="H466" s="5" t="str">
        <x:v>Gold</x:v>
      </x:c>
      <x:c r="I466" s="5" t="n">
        <x:v>0</x:v>
      </x:c>
      <x:c r="J466" s="5" t="n">
        <x:v>0</x:v>
      </x:c>
      <x:c r="K466" s="5" t="str">
        <x:v>rate</x:v>
      </x:c>
      <x:c r="L466" s="5" t="str">
        <x:v>N/A: zero independent human Gold labels; AI must not be promoted to human truth</x:v>
      </x:c>
    </x:row>
    <x:row r="467" ht="20" hidden="0" customHeight="1">
      <x:c r="A467" s="5" t="str">
        <x:v>paired_full</x:v>
      </x:c>
      <x:c r="B467" s="5" t="str">
        <x:v>holdout</x:v>
      </x:c>
      <x:c r="C467" s="5" t="str">
        <x:v>D3_FULL</x:v>
      </x:c>
      <x:c r="D467" s="5" t="str">
        <x:v>multiple_contributions_gold_accuracy</x:v>
      </x:c>
      <x:c r="E467" s="5"/>
      <x:c r="F467" s="5"/>
      <x:c r="G467" s="10" t="str">
        <x:f>IF(COUNTBLANK(E467:F467)&gt;0,"N/A",IF(F467=0,"N/A",E467/F467))</x:f>
        <x:v>N/A</x:v>
      </x:c>
      <x:c r="H467" s="5" t="str">
        <x:v>Gold</x:v>
      </x:c>
      <x:c r="I467" s="5" t="n">
        <x:v>0</x:v>
      </x:c>
      <x:c r="J467" s="5" t="n">
        <x:v>0</x:v>
      </x:c>
      <x:c r="K467" s="5" t="str">
        <x:v>rate</x:v>
      </x:c>
      <x:c r="L467" s="5" t="str">
        <x:v>N/A: zero independent human Gold labels; AI must not be promoted to human truth</x:v>
      </x:c>
    </x:row>
    <x:row r="468" ht="20" hidden="0" customHeight="1">
      <x:c r="A468" s="5" t="str">
        <x:v>paired_ablation</x:v>
      </x:c>
      <x:c r="B468" s="5" t="str">
        <x:v>holdout</x:v>
      </x:c>
      <x:c r="C468" s="5" t="str">
        <x:v>D2_ARCHIVED</x:v>
      </x:c>
      <x:c r="D468" s="5" t="str">
        <x:v>technical_object_correct_rate</x:v>
      </x:c>
      <x:c r="E468" s="5" t="n">
        <x:v>36</x:v>
      </x:c>
      <x:c r="F468" s="5" t="n">
        <x:v>38</x:v>
      </x:c>
      <x:c r="G468" s="10" t="n">
        <x:f>IF(COUNTBLANK(E468:F468)&gt;0,"N/A",IF(F468=0,"N/A",E468/F468))</x:f>
        <x:v>0.9473684210526315</x:v>
      </x:c>
      <x:c r="H468" s="5" t="str">
        <x:v>Silver</x:v>
      </x:c>
      <x:c r="I468" s="5" t="n">
        <x:v>39</x:v>
      </x:c>
      <x:c r="J468" s="5" t="n">
        <x:v>1</x:v>
      </x:c>
      <x:c r="K468" s="5" t="str">
        <x:v>rate</x:v>
      </x:c>
      <x:c r="L468" s="5" t="str">
        <x:v>Correct / {Correct,Partially Correct,Incorrect}; insufficient and uncertain excluded; same-model Silver</x:v>
      </x:c>
    </x:row>
    <x:row r="469" ht="20" hidden="0" customHeight="1">
      <x:c r="A469" s="5" t="str">
        <x:v>paired_ablation</x:v>
      </x:c>
      <x:c r="B469" s="5" t="str">
        <x:v>holdout</x:v>
      </x:c>
      <x:c r="C469" s="5" t="str">
        <x:v>D2_ARCHIVED</x:v>
      </x:c>
      <x:c r="D469" s="5" t="str">
        <x:v>technical_object_partially_correct_rate</x:v>
      </x:c>
      <x:c r="E469" s="5" t="n">
        <x:v>1</x:v>
      </x:c>
      <x:c r="F469" s="5" t="n">
        <x:v>38</x:v>
      </x:c>
      <x:c r="G469" s="10" t="n">
        <x:f>IF(COUNTBLANK(E469:F469)&gt;0,"N/A",IF(F469=0,"N/A",E469/F469))</x:f>
        <x:v>0.02631578947368421</x:v>
      </x:c>
      <x:c r="H469" s="5" t="str">
        <x:v>Silver</x:v>
      </x:c>
      <x:c r="I469" s="5" t="n">
        <x:v>39</x:v>
      </x:c>
      <x:c r="J469" s="5" t="n">
        <x:v>1</x:v>
      </x:c>
      <x:c r="K469" s="5" t="str">
        <x:v>rate</x:v>
      </x:c>
      <x:c r="L469" s="5" t="str"/>
    </x:row>
    <x:row r="470" ht="20" hidden="0" customHeight="1">
      <x:c r="A470" s="5" t="str">
        <x:v>paired_ablation</x:v>
      </x:c>
      <x:c r="B470" s="5" t="str">
        <x:v>holdout</x:v>
      </x:c>
      <x:c r="C470" s="5" t="str">
        <x:v>D2_ARCHIVED</x:v>
      </x:c>
      <x:c r="D470" s="5" t="str">
        <x:v>technical_problem_correct_rate</x:v>
      </x:c>
      <x:c r="E470" s="5" t="n">
        <x:v>17</x:v>
      </x:c>
      <x:c r="F470" s="5" t="n">
        <x:v>19</x:v>
      </x:c>
      <x:c r="G470" s="10" t="n">
        <x:f>IF(COUNTBLANK(E470:F470)&gt;0,"N/A",IF(F470=0,"N/A",E470/F470))</x:f>
        <x:v>0.8947368421052632</x:v>
      </x:c>
      <x:c r="H470" s="5" t="str">
        <x:v>Silver</x:v>
      </x:c>
      <x:c r="I470" s="5" t="n">
        <x:v>39</x:v>
      </x:c>
      <x:c r="J470" s="5" t="n">
        <x:v>20</x:v>
      </x:c>
      <x:c r="K470" s="5" t="str">
        <x:v>rate</x:v>
      </x:c>
      <x:c r="L470" s="5" t="str">
        <x:v>Correct / {Correct,Partially Correct,Incorrect}; insufficient and uncertain excluded; same-model Silver</x:v>
      </x:c>
    </x:row>
    <x:row r="471" ht="20" hidden="0" customHeight="1">
      <x:c r="A471" s="5" t="str">
        <x:v>paired_ablation</x:v>
      </x:c>
      <x:c r="B471" s="5" t="str">
        <x:v>holdout</x:v>
      </x:c>
      <x:c r="C471" s="5" t="str">
        <x:v>D2_ARCHIVED</x:v>
      </x:c>
      <x:c r="D471" s="5" t="str">
        <x:v>technical_problem_partially_correct_rate</x:v>
      </x:c>
      <x:c r="E471" s="5" t="n">
        <x:v>2</x:v>
      </x:c>
      <x:c r="F471" s="5" t="n">
        <x:v>19</x:v>
      </x:c>
      <x:c r="G471" s="10" t="n">
        <x:f>IF(COUNTBLANK(E471:F471)&gt;0,"N/A",IF(F471=0,"N/A",E471/F471))</x:f>
        <x:v>0.10526315789473684</x:v>
      </x:c>
      <x:c r="H471" s="5" t="str">
        <x:v>Silver</x:v>
      </x:c>
      <x:c r="I471" s="5" t="n">
        <x:v>39</x:v>
      </x:c>
      <x:c r="J471" s="5" t="n">
        <x:v>20</x:v>
      </x:c>
      <x:c r="K471" s="5" t="str">
        <x:v>rate</x:v>
      </x:c>
      <x:c r="L471" s="5" t="str"/>
    </x:row>
    <x:row r="472" ht="20" hidden="0" customHeight="1">
      <x:c r="A472" s="5" t="str">
        <x:v>paired_ablation</x:v>
      </x:c>
      <x:c r="B472" s="5" t="str">
        <x:v>holdout</x:v>
      </x:c>
      <x:c r="C472" s="5" t="str">
        <x:v>D2_ARCHIVED</x:v>
      </x:c>
      <x:c r="D472" s="5" t="str">
        <x:v>technical_mechanism_correct_rate</x:v>
      </x:c>
      <x:c r="E472" s="5" t="n">
        <x:v>18</x:v>
      </x:c>
      <x:c r="F472" s="5" t="n">
        <x:v>24</x:v>
      </x:c>
      <x:c r="G472" s="10" t="n">
        <x:f>IF(COUNTBLANK(E472:F472)&gt;0,"N/A",IF(F472=0,"N/A",E472/F472))</x:f>
        <x:v>0.75</x:v>
      </x:c>
      <x:c r="H472" s="5" t="str">
        <x:v>Silver</x:v>
      </x:c>
      <x:c r="I472" s="5" t="n">
        <x:v>39</x:v>
      </x:c>
      <x:c r="J472" s="5" t="n">
        <x:v>15</x:v>
      </x:c>
      <x:c r="K472" s="5" t="str">
        <x:v>rate</x:v>
      </x:c>
      <x:c r="L472" s="5" t="str">
        <x:v>Correct / {Correct,Partially Correct,Incorrect}; insufficient and uncertain excluded; same-model Silver</x:v>
      </x:c>
    </x:row>
    <x:row r="473" ht="20" hidden="0" customHeight="1">
      <x:c r="A473" s="5" t="str">
        <x:v>paired_ablation</x:v>
      </x:c>
      <x:c r="B473" s="5" t="str">
        <x:v>holdout</x:v>
      </x:c>
      <x:c r="C473" s="5" t="str">
        <x:v>D2_ARCHIVED</x:v>
      </x:c>
      <x:c r="D473" s="5" t="str">
        <x:v>technical_mechanism_partially_correct_rate</x:v>
      </x:c>
      <x:c r="E473" s="5" t="n">
        <x:v>6</x:v>
      </x:c>
      <x:c r="F473" s="5" t="n">
        <x:v>24</x:v>
      </x:c>
      <x:c r="G473" s="10" t="n">
        <x:f>IF(COUNTBLANK(E473:F473)&gt;0,"N/A",IF(F473=0,"N/A",E473/F473))</x:f>
        <x:v>0.25</x:v>
      </x:c>
      <x:c r="H473" s="5" t="str">
        <x:v>Silver</x:v>
      </x:c>
      <x:c r="I473" s="5" t="n">
        <x:v>39</x:v>
      </x:c>
      <x:c r="J473" s="5" t="n">
        <x:v>15</x:v>
      </x:c>
      <x:c r="K473" s="5" t="str">
        <x:v>rate</x:v>
      </x:c>
      <x:c r="L473" s="5" t="str"/>
    </x:row>
    <x:row r="474" ht="20" hidden="0" customHeight="1">
      <x:c r="A474" s="5" t="str">
        <x:v>paired_ablation</x:v>
      </x:c>
      <x:c r="B474" s="5" t="str">
        <x:v>holdout</x:v>
      </x:c>
      <x:c r="C474" s="5" t="str">
        <x:v>D2_ARCHIVED</x:v>
      </x:c>
      <x:c r="D474" s="5" t="str">
        <x:v>materials_correct_rate</x:v>
      </x:c>
      <x:c r="E474" s="5" t="n">
        <x:v>4</x:v>
      </x:c>
      <x:c r="F474" s="5" t="n">
        <x:v>11</x:v>
      </x:c>
      <x:c r="G474" s="10" t="n">
        <x:f>IF(COUNTBLANK(E474:F474)&gt;0,"N/A",IF(F474=0,"N/A",E474/F474))</x:f>
        <x:v>0.36363636363636365</x:v>
      </x:c>
      <x:c r="H474" s="5" t="str">
        <x:v>Silver</x:v>
      </x:c>
      <x:c r="I474" s="5" t="n">
        <x:v>39</x:v>
      </x:c>
      <x:c r="J474" s="5" t="n">
        <x:v>28</x:v>
      </x:c>
      <x:c r="K474" s="5" t="str">
        <x:v>rate</x:v>
      </x:c>
      <x:c r="L474" s="5" t="str">
        <x:v>Correct / {Correct,Partially Correct,Incorrect}; insufficient and uncertain excluded; same-model Silver</x:v>
      </x:c>
    </x:row>
    <x:row r="475" ht="20" hidden="0" customHeight="1">
      <x:c r="A475" s="5" t="str">
        <x:v>paired_ablation</x:v>
      </x:c>
      <x:c r="B475" s="5" t="str">
        <x:v>holdout</x:v>
      </x:c>
      <x:c r="C475" s="5" t="str">
        <x:v>D2_ARCHIVED</x:v>
      </x:c>
      <x:c r="D475" s="5" t="str">
        <x:v>materials_partially_correct_rate</x:v>
      </x:c>
      <x:c r="E475" s="5" t="n">
        <x:v>7</x:v>
      </x:c>
      <x:c r="F475" s="5" t="n">
        <x:v>11</x:v>
      </x:c>
      <x:c r="G475" s="10" t="n">
        <x:f>IF(COUNTBLANK(E475:F475)&gt;0,"N/A",IF(F475=0,"N/A",E475/F475))</x:f>
        <x:v>0.6363636363636364</x:v>
      </x:c>
      <x:c r="H475" s="5" t="str">
        <x:v>Silver</x:v>
      </x:c>
      <x:c r="I475" s="5" t="n">
        <x:v>39</x:v>
      </x:c>
      <x:c r="J475" s="5" t="n">
        <x:v>28</x:v>
      </x:c>
      <x:c r="K475" s="5" t="str">
        <x:v>rate</x:v>
      </x:c>
      <x:c r="L475" s="5" t="str"/>
    </x:row>
    <x:row r="476" ht="20" hidden="0" customHeight="1">
      <x:c r="A476" s="5" t="str">
        <x:v>paired_ablation</x:v>
      </x:c>
      <x:c r="B476" s="5" t="str">
        <x:v>holdout</x:v>
      </x:c>
      <x:c r="C476" s="5" t="str">
        <x:v>D2_ARCHIVED</x:v>
      </x:c>
      <x:c r="D476" s="5" t="str">
        <x:v>process_method_correct_rate</x:v>
      </x:c>
      <x:c r="E476" s="5" t="n">
        <x:v>10</x:v>
      </x:c>
      <x:c r="F476" s="5" t="n">
        <x:v>12</x:v>
      </x:c>
      <x:c r="G476" s="10" t="n">
        <x:f>IF(COUNTBLANK(E476:F476)&gt;0,"N/A",IF(F476=0,"N/A",E476/F476))</x:f>
        <x:v>0.8333333333333334</x:v>
      </x:c>
      <x:c r="H476" s="5" t="str">
        <x:v>Silver</x:v>
      </x:c>
      <x:c r="I476" s="5" t="n">
        <x:v>39</x:v>
      </x:c>
      <x:c r="J476" s="5" t="n">
        <x:v>27</x:v>
      </x:c>
      <x:c r="K476" s="5" t="str">
        <x:v>rate</x:v>
      </x:c>
      <x:c r="L476" s="5" t="str">
        <x:v>Correct / {Correct,Partially Correct,Incorrect}; insufficient and uncertain excluded; same-model Silver</x:v>
      </x:c>
    </x:row>
    <x:row r="477" ht="20" hidden="0" customHeight="1">
      <x:c r="A477" s="5" t="str">
        <x:v>paired_ablation</x:v>
      </x:c>
      <x:c r="B477" s="5" t="str">
        <x:v>holdout</x:v>
      </x:c>
      <x:c r="C477" s="5" t="str">
        <x:v>D2_ARCHIVED</x:v>
      </x:c>
      <x:c r="D477" s="5" t="str">
        <x:v>process_method_partially_correct_rate</x:v>
      </x:c>
      <x:c r="E477" s="5" t="n">
        <x:v>2</x:v>
      </x:c>
      <x:c r="F477" s="5" t="n">
        <x:v>12</x:v>
      </x:c>
      <x:c r="G477" s="10" t="n">
        <x:f>IF(COUNTBLANK(E477:F477)&gt;0,"N/A",IF(F477=0,"N/A",E477/F477))</x:f>
        <x:v>0.16666666666666666</x:v>
      </x:c>
      <x:c r="H477" s="5" t="str">
        <x:v>Silver</x:v>
      </x:c>
      <x:c r="I477" s="5" t="n">
        <x:v>39</x:v>
      </x:c>
      <x:c r="J477" s="5" t="n">
        <x:v>27</x:v>
      </x:c>
      <x:c r="K477" s="5" t="str">
        <x:v>rate</x:v>
      </x:c>
      <x:c r="L477" s="5" t="str"/>
    </x:row>
    <x:row r="478" ht="20" hidden="0" customHeight="1">
      <x:c r="A478" s="5" t="str">
        <x:v>paired_ablation</x:v>
      </x:c>
      <x:c r="B478" s="5" t="str">
        <x:v>holdout</x:v>
      </x:c>
      <x:c r="C478" s="5" t="str">
        <x:v>D2_ARCHIVED</x:v>
      </x:c>
      <x:c r="D478" s="5" t="str">
        <x:v>process_order_correct_rate</x:v>
      </x:c>
      <x:c r="E478" s="5" t="n">
        <x:v>3</x:v>
      </x:c>
      <x:c r="F478" s="5" t="n">
        <x:v>5</x:v>
      </x:c>
      <x:c r="G478" s="10" t="n">
        <x:f>IF(COUNTBLANK(E478:F478)&gt;0,"N/A",IF(F478=0,"N/A",E478/F478))</x:f>
        <x:v>0.6</x:v>
      </x:c>
      <x:c r="H478" s="5" t="str">
        <x:v>Silver</x:v>
      </x:c>
      <x:c r="I478" s="5" t="n">
        <x:v>39</x:v>
      </x:c>
      <x:c r="J478" s="5" t="n">
        <x:v>34</x:v>
      </x:c>
      <x:c r="K478" s="5" t="str">
        <x:v>rate</x:v>
      </x:c>
      <x:c r="L478" s="5" t="str">
        <x:v>Correct / {Correct,Partially Correct,Incorrect}; insufficient and uncertain excluded; same-model Silver</x:v>
      </x:c>
    </x:row>
    <x:row r="479" ht="20" hidden="0" customHeight="1">
      <x:c r="A479" s="5" t="str">
        <x:v>paired_ablation</x:v>
      </x:c>
      <x:c r="B479" s="5" t="str">
        <x:v>holdout</x:v>
      </x:c>
      <x:c r="C479" s="5" t="str">
        <x:v>D2_ARCHIVED</x:v>
      </x:c>
      <x:c r="D479" s="5" t="str">
        <x:v>process_order_partially_correct_rate</x:v>
      </x:c>
      <x:c r="E479" s="5" t="n">
        <x:v>2</x:v>
      </x:c>
      <x:c r="F479" s="5" t="n">
        <x:v>5</x:v>
      </x:c>
      <x:c r="G479" s="10" t="n">
        <x:f>IF(COUNTBLANK(E479:F479)&gt;0,"N/A",IF(F479=0,"N/A",E479/F479))</x:f>
        <x:v>0.4</x:v>
      </x:c>
      <x:c r="H479" s="5" t="str">
        <x:v>Silver</x:v>
      </x:c>
      <x:c r="I479" s="5" t="n">
        <x:v>39</x:v>
      </x:c>
      <x:c r="J479" s="5" t="n">
        <x:v>34</x:v>
      </x:c>
      <x:c r="K479" s="5" t="str">
        <x:v>rate</x:v>
      </x:c>
      <x:c r="L479" s="5" t="str"/>
    </x:row>
    <x:row r="480" ht="20" hidden="0" customHeight="1">
      <x:c r="A480" s="5" t="str">
        <x:v>paired_ablation</x:v>
      </x:c>
      <x:c r="B480" s="5" t="str">
        <x:v>holdout</x:v>
      </x:c>
      <x:c r="C480" s="5" t="str">
        <x:v>D2_ARCHIVED</x:v>
      </x:c>
      <x:c r="D480" s="5" t="str">
        <x:v>parameters_correct_rate</x:v>
      </x:c>
      <x:c r="E480" s="5" t="n">
        <x:v>4</x:v>
      </x:c>
      <x:c r="F480" s="5" t="n">
        <x:v>6</x:v>
      </x:c>
      <x:c r="G480" s="10" t="n">
        <x:f>IF(COUNTBLANK(E480:F480)&gt;0,"N/A",IF(F480=0,"N/A",E480/F480))</x:f>
        <x:v>0.6666666666666666</x:v>
      </x:c>
      <x:c r="H480" s="5" t="str">
        <x:v>Silver</x:v>
      </x:c>
      <x:c r="I480" s="5" t="n">
        <x:v>39</x:v>
      </x:c>
      <x:c r="J480" s="5" t="n">
        <x:v>33</x:v>
      </x:c>
      <x:c r="K480" s="5" t="str">
        <x:v>rate</x:v>
      </x:c>
      <x:c r="L480" s="5" t="str">
        <x:v>Correct / {Correct,Partially Correct,Incorrect}; insufficient and uncertain excluded; same-model Silver</x:v>
      </x:c>
    </x:row>
    <x:row r="481" ht="20" hidden="0" customHeight="1">
      <x:c r="A481" s="5" t="str">
        <x:v>paired_ablation</x:v>
      </x:c>
      <x:c r="B481" s="5" t="str">
        <x:v>holdout</x:v>
      </x:c>
      <x:c r="C481" s="5" t="str">
        <x:v>D2_ARCHIVED</x:v>
      </x:c>
      <x:c r="D481" s="5" t="str">
        <x:v>parameters_partially_correct_rate</x:v>
      </x:c>
      <x:c r="E481" s="5" t="n">
        <x:v>2</x:v>
      </x:c>
      <x:c r="F481" s="5" t="n">
        <x:v>6</x:v>
      </x:c>
      <x:c r="G481" s="10" t="n">
        <x:f>IF(COUNTBLANK(E481:F481)&gt;0,"N/A",IF(F481=0,"N/A",E481/F481))</x:f>
        <x:v>0.3333333333333333</x:v>
      </x:c>
      <x:c r="H481" s="5" t="str">
        <x:v>Silver</x:v>
      </x:c>
      <x:c r="I481" s="5" t="n">
        <x:v>39</x:v>
      </x:c>
      <x:c r="J481" s="5" t="n">
        <x:v>33</x:v>
      </x:c>
      <x:c r="K481" s="5" t="str">
        <x:v>rate</x:v>
      </x:c>
      <x:c r="L481" s="5" t="str"/>
    </x:row>
    <x:row r="482" ht="20" hidden="0" customHeight="1">
      <x:c r="A482" s="5" t="str">
        <x:v>paired_ablation</x:v>
      </x:c>
      <x:c r="B482" s="5" t="str">
        <x:v>holdout</x:v>
      </x:c>
      <x:c r="C482" s="5" t="str">
        <x:v>D2_ARCHIVED</x:v>
      </x:c>
      <x:c r="D482" s="5" t="str">
        <x:v>effects_correct_rate</x:v>
      </x:c>
      <x:c r="E482" s="5" t="n">
        <x:v>18</x:v>
      </x:c>
      <x:c r="F482" s="5" t="n">
        <x:v>19</x:v>
      </x:c>
      <x:c r="G482" s="10" t="n">
        <x:f>IF(COUNTBLANK(E482:F482)&gt;0,"N/A",IF(F482=0,"N/A",E482/F482))</x:f>
        <x:v>0.9473684210526315</x:v>
      </x:c>
      <x:c r="H482" s="5" t="str">
        <x:v>Silver</x:v>
      </x:c>
      <x:c r="I482" s="5" t="n">
        <x:v>39</x:v>
      </x:c>
      <x:c r="J482" s="5" t="n">
        <x:v>20</x:v>
      </x:c>
      <x:c r="K482" s="5" t="str">
        <x:v>rate</x:v>
      </x:c>
      <x:c r="L482" s="5" t="str">
        <x:v>Correct / {Correct,Partially Correct,Incorrect}; insufficient and uncertain excluded; same-model Silver</x:v>
      </x:c>
    </x:row>
    <x:row r="483" ht="20" hidden="0" customHeight="1">
      <x:c r="A483" s="5" t="str">
        <x:v>paired_ablation</x:v>
      </x:c>
      <x:c r="B483" s="5" t="str">
        <x:v>holdout</x:v>
      </x:c>
      <x:c r="C483" s="5" t="str">
        <x:v>D2_ARCHIVED</x:v>
      </x:c>
      <x:c r="D483" s="5" t="str">
        <x:v>effects_partially_correct_rate</x:v>
      </x:c>
      <x:c r="E483" s="5" t="n">
        <x:v>1</x:v>
      </x:c>
      <x:c r="F483" s="5" t="n">
        <x:v>19</x:v>
      </x:c>
      <x:c r="G483" s="10" t="n">
        <x:f>IF(COUNTBLANK(E483:F483)&gt;0,"N/A",IF(F483=0,"N/A",E483/F483))</x:f>
        <x:v>0.05263157894736842</x:v>
      </x:c>
      <x:c r="H483" s="5" t="str">
        <x:v>Silver</x:v>
      </x:c>
      <x:c r="I483" s="5" t="n">
        <x:v>39</x:v>
      </x:c>
      <x:c r="J483" s="5" t="n">
        <x:v>20</x:v>
      </x:c>
      <x:c r="K483" s="5" t="str">
        <x:v>rate</x:v>
      </x:c>
      <x:c r="L483" s="5" t="str"/>
    </x:row>
    <x:row r="484" ht="20" hidden="0" customHeight="1">
      <x:c r="A484" s="5" t="str">
        <x:v>paired_ablation</x:v>
      </x:c>
      <x:c r="B484" s="5" t="str">
        <x:v>holdout</x:v>
      </x:c>
      <x:c r="C484" s="5" t="str">
        <x:v>D2_ARCHIVED</x:v>
      </x:c>
      <x:c r="D484" s="5" t="str">
        <x:v>multiple_contributions_correct_rate</x:v>
      </x:c>
      <x:c r="E484" s="5" t="n">
        <x:v>19</x:v>
      </x:c>
      <x:c r="F484" s="5" t="n">
        <x:v>30</x:v>
      </x:c>
      <x:c r="G484" s="10" t="n">
        <x:f>IF(COUNTBLANK(E484:F484)&gt;0,"N/A",IF(F484=0,"N/A",E484/F484))</x:f>
        <x:v>0.6333333333333333</x:v>
      </x:c>
      <x:c r="H484" s="5" t="str">
        <x:v>Silver</x:v>
      </x:c>
      <x:c r="I484" s="5" t="n">
        <x:v>39</x:v>
      </x:c>
      <x:c r="J484" s="5" t="n">
        <x:v>9</x:v>
      </x:c>
      <x:c r="K484" s="5" t="str">
        <x:v>rate</x:v>
      </x:c>
      <x:c r="L484" s="5" t="str">
        <x:v>Correct / {Correct,Partially Correct,Incorrect}; insufficient and uncertain excluded; same-model Silver</x:v>
      </x:c>
    </x:row>
    <x:row r="485" ht="20" hidden="0" customHeight="1">
      <x:c r="A485" s="5" t="str">
        <x:v>paired_ablation</x:v>
      </x:c>
      <x:c r="B485" s="5" t="str">
        <x:v>holdout</x:v>
      </x:c>
      <x:c r="C485" s="5" t="str">
        <x:v>D2_ARCHIVED</x:v>
      </x:c>
      <x:c r="D485" s="5" t="str">
        <x:v>multiple_contributions_partially_correct_rate</x:v>
      </x:c>
      <x:c r="E485" s="5" t="n">
        <x:v>7</x:v>
      </x:c>
      <x:c r="F485" s="5" t="n">
        <x:v>30</x:v>
      </x:c>
      <x:c r="G485" s="10" t="n">
        <x:f>IF(COUNTBLANK(E485:F485)&gt;0,"N/A",IF(F485=0,"N/A",E485/F485))</x:f>
        <x:v>0.23333333333333334</x:v>
      </x:c>
      <x:c r="H485" s="5" t="str">
        <x:v>Silver</x:v>
      </x:c>
      <x:c r="I485" s="5" t="n">
        <x:v>39</x:v>
      </x:c>
      <x:c r="J485" s="5" t="n">
        <x:v>9</x:v>
      </x:c>
      <x:c r="K485" s="5" t="str">
        <x:v>rate</x:v>
      </x:c>
      <x:c r="L485" s="5" t="str"/>
    </x:row>
    <x:row r="486" ht="20" hidden="0" customHeight="1">
      <x:c r="A486" s="5" t="str">
        <x:v>paired_ablation</x:v>
      </x:c>
      <x:c r="B486" s="5" t="str">
        <x:v>holdout</x:v>
      </x:c>
      <x:c r="C486" s="5" t="str">
        <x:v>D2_ARCHIVED</x:v>
      </x:c>
      <x:c r="D486" s="5" t="str">
        <x:v>hallucination_correct_rate</x:v>
      </x:c>
      <x:c r="E486" s="5" t="n">
        <x:v>35</x:v>
      </x:c>
      <x:c r="F486" s="5" t="n">
        <x:v>39</x:v>
      </x:c>
      <x:c r="G486" s="10" t="n">
        <x:f>IF(COUNTBLANK(E486:F486)&gt;0,"N/A",IF(F486=0,"N/A",E486/F486))</x:f>
        <x:v>0.8974358974358975</x:v>
      </x:c>
      <x:c r="H486" s="5" t="str">
        <x:v>Silver</x:v>
      </x:c>
      <x:c r="I486" s="5" t="n">
        <x:v>39</x:v>
      </x:c>
      <x:c r="J486" s="5" t="n">
        <x:v>0</x:v>
      </x:c>
      <x:c r="K486" s="5" t="str">
        <x:v>rate</x:v>
      </x:c>
      <x:c r="L486" s="5" t="str">
        <x:v>Correct / {Correct,Partially Correct,Incorrect}; insufficient and uncertain excluded; same-model Silver</x:v>
      </x:c>
    </x:row>
    <x:row r="487" ht="20" hidden="0" customHeight="1">
      <x:c r="A487" s="5" t="str">
        <x:v>paired_ablation</x:v>
      </x:c>
      <x:c r="B487" s="5" t="str">
        <x:v>holdout</x:v>
      </x:c>
      <x:c r="C487" s="5" t="str">
        <x:v>D2_ARCHIVED</x:v>
      </x:c>
      <x:c r="D487" s="5" t="str">
        <x:v>hallucination_partially_correct_rate</x:v>
      </x:c>
      <x:c r="E487" s="5" t="n">
        <x:v>3</x:v>
      </x:c>
      <x:c r="F487" s="5" t="n">
        <x:v>39</x:v>
      </x:c>
      <x:c r="G487" s="10" t="n">
        <x:f>IF(COUNTBLANK(E487:F487)&gt;0,"N/A",IF(F487=0,"N/A",E487/F487))</x:f>
        <x:v>0.07692307692307693</x:v>
      </x:c>
      <x:c r="H487" s="5" t="str">
        <x:v>Silver</x:v>
      </x:c>
      <x:c r="I487" s="5" t="n">
        <x:v>39</x:v>
      </x:c>
      <x:c r="J487" s="5" t="n">
        <x:v>0</x:v>
      </x:c>
      <x:c r="K487" s="5" t="str">
        <x:v>rate</x:v>
      </x:c>
      <x:c r="L487" s="5" t="str"/>
    </x:row>
    <x:row r="488" ht="31" hidden="0" customHeight="1">
      <x:c r="A488" s="5" t="str">
        <x:v>paired_ablation</x:v>
      </x:c>
      <x:c r="B488" s="5" t="str">
        <x:v>holdout</x:v>
      </x:c>
      <x:c r="C488" s="5" t="str">
        <x:v>D2_ARCHIVED</x:v>
      </x:c>
      <x:c r="D488" s="5" t="str">
        <x:v>contribution_coverage</x:v>
      </x:c>
      <x:c r="E488" s="5" t="n">
        <x:v>29</x:v>
      </x:c>
      <x:c r="F488" s="5" t="n">
        <x:v>36</x:v>
      </x:c>
      <x:c r="G488" s="10" t="n">
        <x:f>IF(COUNTBLANK(E488:F488)&gt;0,"N/A",IF(F488=0,"N/A",E488/F488))</x:f>
        <x:v>0.8055555555555556</x:v>
      </x:c>
      <x:c r="H488" s="5" t="str">
        <x:v>Silver</x:v>
      </x:c>
      <x:c r="I488" s="5" t="n">
        <x:v>39</x:v>
      </x:c>
      <x:c r="J488" s="5" t="n">
        <x:v>9</x:v>
      </x:c>
      <x:c r="K488" s="5" t="str">
        <x:v>rate</x:v>
      </x:c>
      <x:c r="L488" s="5" t="str">
        <x:v>Source-reference denominators required consistent across matched configs; disagreements/zero applicability excluded</x:v>
      </x:c>
    </x:row>
    <x:row r="489" ht="31" hidden="0" customHeight="1">
      <x:c r="A489" s="5" t="str">
        <x:v>paired_ablation</x:v>
      </x:c>
      <x:c r="B489" s="5" t="str">
        <x:v>holdout</x:v>
      </x:c>
      <x:c r="C489" s="5" t="str">
        <x:v>D2_ARCHIVED</x:v>
      </x:c>
      <x:c r="D489" s="5" t="str">
        <x:v>material_retention</x:v>
      </x:c>
      <x:c r="E489" s="5" t="n">
        <x:v>20</x:v>
      </x:c>
      <x:c r="F489" s="5" t="n">
        <x:v>27</x:v>
      </x:c>
      <x:c r="G489" s="10" t="n">
        <x:f>IF(COUNTBLANK(E489:F489)&gt;0,"N/A",IF(F489=0,"N/A",E489/F489))</x:f>
        <x:v>0.7407407407407407</x:v>
      </x:c>
      <x:c r="H489" s="5" t="str">
        <x:v>Silver</x:v>
      </x:c>
      <x:c r="I489" s="5" t="n">
        <x:v>39</x:v>
      </x:c>
      <x:c r="J489" s="5" t="n">
        <x:v>27</x:v>
      </x:c>
      <x:c r="K489" s="5" t="str">
        <x:v>rate</x:v>
      </x:c>
      <x:c r="L489" s="5" t="str">
        <x:v>Source-reference denominators required consistent across matched configs; disagreements/zero applicability excluded</x:v>
      </x:c>
    </x:row>
    <x:row r="490" ht="31" hidden="0" customHeight="1">
      <x:c r="A490" s="5" t="str">
        <x:v>paired_ablation</x:v>
      </x:c>
      <x:c r="B490" s="5" t="str">
        <x:v>holdout</x:v>
      </x:c>
      <x:c r="C490" s="5" t="str">
        <x:v>D2_ARCHIVED</x:v>
      </x:c>
      <x:c r="D490" s="5" t="str">
        <x:v>process_retention</x:v>
      </x:c>
      <x:c r="E490" s="5" t="n">
        <x:v>38</x:v>
      </x:c>
      <x:c r="F490" s="5" t="n">
        <x:v>49</x:v>
      </x:c>
      <x:c r="G490" s="10" t="n">
        <x:f>IF(COUNTBLANK(E490:F490)&gt;0,"N/A",IF(F490=0,"N/A",E490/F490))</x:f>
        <x:v>0.7755102040816326</x:v>
      </x:c>
      <x:c r="H490" s="5" t="str">
        <x:v>Silver</x:v>
      </x:c>
      <x:c r="I490" s="5" t="n">
        <x:v>39</x:v>
      </x:c>
      <x:c r="J490" s="5" t="n">
        <x:v>25</x:v>
      </x:c>
      <x:c r="K490" s="5" t="str">
        <x:v>rate</x:v>
      </x:c>
      <x:c r="L490" s="5" t="str">
        <x:v>Source-reference denominators required consistent across matched configs; disagreements/zero applicability excluded</x:v>
      </x:c>
    </x:row>
    <x:row r="491" ht="20" hidden="0" customHeight="1">
      <x:c r="A491" s="5" t="str">
        <x:v>paired_ablation</x:v>
      </x:c>
      <x:c r="B491" s="5" t="str">
        <x:v>holdout</x:v>
      </x:c>
      <x:c r="C491" s="5" t="str">
        <x:v>D2_ARCHIVED</x:v>
      </x:c>
      <x:c r="D491" s="5" t="str">
        <x:v>multi_contribution_omission_rate</x:v>
      </x:c>
      <x:c r="E491" s="5" t="n">
        <x:v>4</x:v>
      </x:c>
      <x:c r="F491" s="5" t="n">
        <x:v>4</x:v>
      </x:c>
      <x:c r="G491" s="10" t="n">
        <x:f>IF(COUNTBLANK(E491:F491)&gt;0,"N/A",IF(F491=0,"N/A",E491/F491))</x:f>
        <x:v>1</x:v>
      </x:c>
      <x:c r="H491" s="5" t="str">
        <x:v>Silver</x:v>
      </x:c>
      <x:c r="I491" s="5" t="n">
        <x:v>39</x:v>
      </x:c>
      <x:c r="J491" s="5" t="n">
        <x:v>35</x:v>
      </x:c>
      <x:c r="K491" s="5" t="str">
        <x:v>rate</x:v>
      </x:c>
      <x:c r="L491" s="5" t="str"/>
    </x:row>
    <x:row r="492" ht="20" hidden="0" customHeight="1">
      <x:c r="A492" s="5" t="str">
        <x:v>paired_ablation</x:v>
      </x:c>
      <x:c r="B492" s="5" t="str">
        <x:v>holdout</x:v>
      </x:c>
      <x:c r="C492" s="5" t="str">
        <x:v>D2_ARCHIVED</x:v>
      </x:c>
      <x:c r="D492" s="5" t="str">
        <x:v>full_conclusion_support_rate</x:v>
      </x:c>
      <x:c r="E492" s="5" t="n">
        <x:v>18</x:v>
      </x:c>
      <x:c r="F492" s="5" t="n">
        <x:v>30</x:v>
      </x:c>
      <x:c r="G492" s="10" t="n">
        <x:f>IF(COUNTBLANK(E492:F492)&gt;0,"N/A",IF(F492=0,"N/A",E492/F492))</x:f>
        <x:v>0.6</x:v>
      </x:c>
      <x:c r="H492" s="5" t="str">
        <x:v>Silver</x:v>
      </x:c>
      <x:c r="I492" s="5" t="n">
        <x:v>39</x:v>
      </x:c>
      <x:c r="J492" s="5" t="n">
        <x:v>9</x:v>
      </x:c>
      <x:c r="K492" s="5" t="str">
        <x:v>rate</x:v>
      </x:c>
      <x:c r="L492" s="5" t="str"/>
    </x:row>
    <x:row r="493" ht="20" hidden="0" customHeight="1">
      <x:c r="A493" s="5" t="str">
        <x:v>paired_ablation</x:v>
      </x:c>
      <x:c r="B493" s="5" t="str">
        <x:v>holdout</x:v>
      </x:c>
      <x:c r="C493" s="5" t="str">
        <x:v>D2_ARCHIVED</x:v>
      </x:c>
      <x:c r="D493" s="5" t="str">
        <x:v>mean_contributions_per_family</x:v>
      </x:c>
      <x:c r="E493" s="5" t="n">
        <x:v>24</x:v>
      </x:c>
      <x:c r="F493" s="5" t="n">
        <x:v>39</x:v>
      </x:c>
      <x:c r="G493" s="11" t="n">
        <x:f>IF(COUNTBLANK(E493:F493)&gt;0,"N/A",IF(F493=0,"N/A",E493/F493))</x:f>
        <x:v>0.6153846153846154</x:v>
      </x:c>
      <x:c r="H493" s="5" t="str">
        <x:v>Silver</x:v>
      </x:c>
      <x:c r="I493" s="5" t="n">
        <x:v>39</x:v>
      </x:c>
      <x:c r="J493" s="5" t="n">
        <x:v>0</x:v>
      </x:c>
      <x:c r="K493" s="5" t="str">
        <x:v>contributions/family</x:v>
      </x:c>
      <x:c r="L493" s="5" t="str"/>
    </x:row>
    <x:row r="494" ht="20" hidden="0" customHeight="1">
      <x:c r="A494" s="5" t="str">
        <x:v>paired_ablation</x:v>
      </x:c>
      <x:c r="B494" s="5" t="str">
        <x:v>holdout</x:v>
      </x:c>
      <x:c r="C494" s="5" t="str">
        <x:v>D2_ARCHIVED</x:v>
      </x:c>
      <x:c r="D494" s="5" t="str">
        <x:v>oversplit_contribution_rate</x:v>
      </x:c>
      <x:c r="E494" s="5" t="n">
        <x:v>0</x:v>
      </x:c>
      <x:c r="F494" s="5" t="n">
        <x:v>24</x:v>
      </x:c>
      <x:c r="G494" s="10" t="n">
        <x:f>IF(COUNTBLANK(E494:F494)&gt;0,"N/A",IF(F494=0,"N/A",E494/F494))</x:f>
        <x:v>0</x:v>
      </x:c>
      <x:c r="H494" s="5" t="str">
        <x:v>Silver</x:v>
      </x:c>
      <x:c r="I494" s="5" t="n">
        <x:v>39</x:v>
      </x:c>
      <x:c r="J494" s="5" t="n">
        <x:v>0</x:v>
      </x:c>
      <x:c r="K494" s="5" t="str">
        <x:v>rate</x:v>
      </x:c>
      <x:c r="L494" s="5" t="str">
        <x:v>Auditor oversplit units / actual explicit output units; not a human error rate</x:v>
      </x:c>
    </x:row>
    <x:row r="495" ht="20" hidden="0" customHeight="1">
      <x:c r="A495" s="5" t="str">
        <x:v>paired_ablation</x:v>
      </x:c>
      <x:c r="B495" s="5" t="str">
        <x:v>holdout</x:v>
      </x:c>
      <x:c r="C495" s="5" t="str">
        <x:v>D2_ARCHIVED</x:v>
      </x:c>
      <x:c r="D495" s="5" t="str">
        <x:v>hallucinated_contribution_rate</x:v>
      </x:c>
      <x:c r="E495" s="5" t="n">
        <x:v>4</x:v>
      </x:c>
      <x:c r="F495" s="5" t="n">
        <x:v>24</x:v>
      </x:c>
      <x:c r="G495" s="10" t="n">
        <x:f>IF(COUNTBLANK(E495:F495)&gt;0,"N/A",IF(F495=0,"N/A",E495/F495))</x:f>
        <x:v>0.16666666666666666</x:v>
      </x:c>
      <x:c r="H495" s="5" t="str">
        <x:v>Silver</x:v>
      </x:c>
      <x:c r="I495" s="5" t="n">
        <x:v>39</x:v>
      </x:c>
      <x:c r="J495" s="5" t="n">
        <x:v>0</x:v>
      </x:c>
      <x:c r="K495" s="5" t="str">
        <x:v>rate</x:v>
      </x:c>
      <x:c r="L495" s="5" t="str"/>
    </x:row>
    <x:row r="496" ht="20" hidden="0" customHeight="1">
      <x:c r="A496" s="5" t="str">
        <x:v>paired_ablation</x:v>
      </x:c>
      <x:c r="B496" s="5" t="str">
        <x:v>holdout</x:v>
      </x:c>
      <x:c r="C496" s="5" t="str">
        <x:v>D2_ARCHIVED</x:v>
      </x:c>
      <x:c r="D496" s="5" t="str">
        <x:v>technical_mechanism_gold_accuracy</x:v>
      </x:c>
      <x:c r="E496" s="5"/>
      <x:c r="F496" s="5"/>
      <x:c r="G496" s="10" t="str">
        <x:f>IF(COUNTBLANK(E496:F496)&gt;0,"N/A",IF(F496=0,"N/A",E496/F496))</x:f>
        <x:v>N/A</x:v>
      </x:c>
      <x:c r="H496" s="5" t="str">
        <x:v>Gold</x:v>
      </x:c>
      <x:c r="I496" s="5" t="n">
        <x:v>0</x:v>
      </x:c>
      <x:c r="J496" s="5" t="n">
        <x:v>0</x:v>
      </x:c>
      <x:c r="K496" s="5" t="str">
        <x:v>rate</x:v>
      </x:c>
      <x:c r="L496" s="5" t="str">
        <x:v>N/A: zero independent human Gold labels; AI must not be promoted to human truth</x:v>
      </x:c>
    </x:row>
    <x:row r="497" ht="20" hidden="0" customHeight="1">
      <x:c r="A497" s="5" t="str">
        <x:v>paired_ablation</x:v>
      </x:c>
      <x:c r="B497" s="5" t="str">
        <x:v>holdout</x:v>
      </x:c>
      <x:c r="C497" s="5" t="str">
        <x:v>D2_ARCHIVED</x:v>
      </x:c>
      <x:c r="D497" s="5" t="str">
        <x:v>materials_gold_accuracy</x:v>
      </x:c>
      <x:c r="E497" s="5"/>
      <x:c r="F497" s="5"/>
      <x:c r="G497" s="10" t="str">
        <x:f>IF(COUNTBLANK(E497:F497)&gt;0,"N/A",IF(F497=0,"N/A",E497/F497))</x:f>
        <x:v>N/A</x:v>
      </x:c>
      <x:c r="H497" s="5" t="str">
        <x:v>Gold</x:v>
      </x:c>
      <x:c r="I497" s="5" t="n">
        <x:v>0</x:v>
      </x:c>
      <x:c r="J497" s="5" t="n">
        <x:v>0</x:v>
      </x:c>
      <x:c r="K497" s="5" t="str">
        <x:v>rate</x:v>
      </x:c>
      <x:c r="L497" s="5" t="str">
        <x:v>N/A: zero independent human Gold labels; AI must not be promoted to human truth</x:v>
      </x:c>
    </x:row>
    <x:row r="498" ht="20" hidden="0" customHeight="1">
      <x:c r="A498" s="5" t="str">
        <x:v>paired_ablation</x:v>
      </x:c>
      <x:c r="B498" s="5" t="str">
        <x:v>holdout</x:v>
      </x:c>
      <x:c r="C498" s="5" t="str">
        <x:v>D2_ARCHIVED</x:v>
      </x:c>
      <x:c r="D498" s="5" t="str">
        <x:v>process_method_gold_accuracy</x:v>
      </x:c>
      <x:c r="E498" s="5"/>
      <x:c r="F498" s="5"/>
      <x:c r="G498" s="10" t="str">
        <x:f>IF(COUNTBLANK(E498:F498)&gt;0,"N/A",IF(F498=0,"N/A",E498/F498))</x:f>
        <x:v>N/A</x:v>
      </x:c>
      <x:c r="H498" s="5" t="str">
        <x:v>Gold</x:v>
      </x:c>
      <x:c r="I498" s="5" t="n">
        <x:v>0</x:v>
      </x:c>
      <x:c r="J498" s="5" t="n">
        <x:v>0</x:v>
      </x:c>
      <x:c r="K498" s="5" t="str">
        <x:v>rate</x:v>
      </x:c>
      <x:c r="L498" s="5" t="str">
        <x:v>N/A: zero independent human Gold labels; AI must not be promoted to human truth</x:v>
      </x:c>
    </x:row>
    <x:row r="499" ht="20" hidden="0" customHeight="1">
      <x:c r="A499" s="5" t="str">
        <x:v>paired_ablation</x:v>
      </x:c>
      <x:c r="B499" s="5" t="str">
        <x:v>holdout</x:v>
      </x:c>
      <x:c r="C499" s="5" t="str">
        <x:v>D2_ARCHIVED</x:v>
      </x:c>
      <x:c r="D499" s="5" t="str">
        <x:v>parameters_gold_accuracy</x:v>
      </x:c>
      <x:c r="E499" s="5"/>
      <x:c r="F499" s="5"/>
      <x:c r="G499" s="10" t="str">
        <x:f>IF(COUNTBLANK(E499:F499)&gt;0,"N/A",IF(F499=0,"N/A",E499/F499))</x:f>
        <x:v>N/A</x:v>
      </x:c>
      <x:c r="H499" s="5" t="str">
        <x:v>Gold</x:v>
      </x:c>
      <x:c r="I499" s="5" t="n">
        <x:v>0</x:v>
      </x:c>
      <x:c r="J499" s="5" t="n">
        <x:v>0</x:v>
      </x:c>
      <x:c r="K499" s="5" t="str">
        <x:v>rate</x:v>
      </x:c>
      <x:c r="L499" s="5" t="str">
        <x:v>N/A: zero independent human Gold labels; AI must not be promoted to human truth</x:v>
      </x:c>
    </x:row>
    <x:row r="500" ht="20" hidden="0" customHeight="1">
      <x:c r="A500" s="5" t="str">
        <x:v>paired_ablation</x:v>
      </x:c>
      <x:c r="B500" s="5" t="str">
        <x:v>holdout</x:v>
      </x:c>
      <x:c r="C500" s="5" t="str">
        <x:v>D2_ARCHIVED</x:v>
      </x:c>
      <x:c r="D500" s="5" t="str">
        <x:v>multiple_contributions_gold_accuracy</x:v>
      </x:c>
      <x:c r="E500" s="5"/>
      <x:c r="F500" s="5"/>
      <x:c r="G500" s="10" t="str">
        <x:f>IF(COUNTBLANK(E500:F500)&gt;0,"N/A",IF(F500=0,"N/A",E500/F500))</x:f>
        <x:v>N/A</x:v>
      </x:c>
      <x:c r="H500" s="5" t="str">
        <x:v>Gold</x:v>
      </x:c>
      <x:c r="I500" s="5" t="n">
        <x:v>0</x:v>
      </x:c>
      <x:c r="J500" s="5" t="n">
        <x:v>0</x:v>
      </x:c>
      <x:c r="K500" s="5" t="str">
        <x:v>rate</x:v>
      </x:c>
      <x:c r="L500" s="5" t="str">
        <x:v>N/A: zero independent human Gold labels; AI must not be promoted to human truth</x:v>
      </x:c>
    </x:row>
    <x:row r="501" ht="20" hidden="0" customHeight="1">
      <x:c r="A501" s="5" t="str">
        <x:v>paired_ablation</x:v>
      </x:c>
      <x:c r="B501" s="5" t="str">
        <x:v>holdout</x:v>
      </x:c>
      <x:c r="C501" s="5" t="str">
        <x:v>D2_DEEPSEEK_REPLAY</x:v>
      </x:c>
      <x:c r="D501" s="5" t="str">
        <x:v>technical_object_correct_rate</x:v>
      </x:c>
      <x:c r="E501" s="5" t="n">
        <x:v>36</x:v>
      </x:c>
      <x:c r="F501" s="5" t="n">
        <x:v>39</x:v>
      </x:c>
      <x:c r="G501" s="10" t="n">
        <x:f>IF(COUNTBLANK(E501:F501)&gt;0,"N/A",IF(F501=0,"N/A",E501/F501))</x:f>
        <x:v>0.9230769230769231</x:v>
      </x:c>
      <x:c r="H501" s="5" t="str">
        <x:v>Silver</x:v>
      </x:c>
      <x:c r="I501" s="5" t="n">
        <x:v>39</x:v>
      </x:c>
      <x:c r="J501" s="5" t="n">
        <x:v>0</x:v>
      </x:c>
      <x:c r="K501" s="5" t="str">
        <x:v>rate</x:v>
      </x:c>
      <x:c r="L501" s="5" t="str">
        <x:v>Correct / {Correct,Partially Correct,Incorrect}; insufficient and uncertain excluded; same-model Silver</x:v>
      </x:c>
    </x:row>
    <x:row r="502" ht="20" hidden="0" customHeight="1">
      <x:c r="A502" s="5" t="str">
        <x:v>paired_ablation</x:v>
      </x:c>
      <x:c r="B502" s="5" t="str">
        <x:v>holdout</x:v>
      </x:c>
      <x:c r="C502" s="5" t="str">
        <x:v>D2_DEEPSEEK_REPLAY</x:v>
      </x:c>
      <x:c r="D502" s="5" t="str">
        <x:v>technical_object_partially_correct_rate</x:v>
      </x:c>
      <x:c r="E502" s="5" t="n">
        <x:v>3</x:v>
      </x:c>
      <x:c r="F502" s="5" t="n">
        <x:v>39</x:v>
      </x:c>
      <x:c r="G502" s="10" t="n">
        <x:f>IF(COUNTBLANK(E502:F502)&gt;0,"N/A",IF(F502=0,"N/A",E502/F502))</x:f>
        <x:v>0.07692307692307693</x:v>
      </x:c>
      <x:c r="H502" s="5" t="str">
        <x:v>Silver</x:v>
      </x:c>
      <x:c r="I502" s="5" t="n">
        <x:v>39</x:v>
      </x:c>
      <x:c r="J502" s="5" t="n">
        <x:v>0</x:v>
      </x:c>
      <x:c r="K502" s="5" t="str">
        <x:v>rate</x:v>
      </x:c>
      <x:c r="L502" s="5" t="str"/>
    </x:row>
    <x:row r="503" ht="20" hidden="0" customHeight="1">
      <x:c r="A503" s="5" t="str">
        <x:v>paired_ablation</x:v>
      </x:c>
      <x:c r="B503" s="5" t="str">
        <x:v>holdout</x:v>
      </x:c>
      <x:c r="C503" s="5" t="str">
        <x:v>D2_DEEPSEEK_REPLAY</x:v>
      </x:c>
      <x:c r="D503" s="5" t="str">
        <x:v>technical_problem_correct_rate</x:v>
      </x:c>
      <x:c r="E503" s="5" t="n">
        <x:v>18</x:v>
      </x:c>
      <x:c r="F503" s="5" t="n">
        <x:v>18</x:v>
      </x:c>
      <x:c r="G503" s="10" t="n">
        <x:f>IF(COUNTBLANK(E503:F503)&gt;0,"N/A",IF(F503=0,"N/A",E503/F503))</x:f>
        <x:v>1</x:v>
      </x:c>
      <x:c r="H503" s="5" t="str">
        <x:v>Silver</x:v>
      </x:c>
      <x:c r="I503" s="5" t="n">
        <x:v>39</x:v>
      </x:c>
      <x:c r="J503" s="5" t="n">
        <x:v>21</x:v>
      </x:c>
      <x:c r="K503" s="5" t="str">
        <x:v>rate</x:v>
      </x:c>
      <x:c r="L503" s="5" t="str">
        <x:v>Correct / {Correct,Partially Correct,Incorrect}; insufficient and uncertain excluded; same-model Silver</x:v>
      </x:c>
    </x:row>
    <x:row r="504" ht="20" hidden="0" customHeight="1">
      <x:c r="A504" s="5" t="str">
        <x:v>paired_ablation</x:v>
      </x:c>
      <x:c r="B504" s="5" t="str">
        <x:v>holdout</x:v>
      </x:c>
      <x:c r="C504" s="5" t="str">
        <x:v>D2_DEEPSEEK_REPLAY</x:v>
      </x:c>
      <x:c r="D504" s="5" t="str">
        <x:v>technical_problem_partially_correct_rate</x:v>
      </x:c>
      <x:c r="E504" s="5" t="n">
        <x:v>0</x:v>
      </x:c>
      <x:c r="F504" s="5" t="n">
        <x:v>18</x:v>
      </x:c>
      <x:c r="G504" s="10" t="n">
        <x:f>IF(COUNTBLANK(E504:F504)&gt;0,"N/A",IF(F504=0,"N/A",E504/F504))</x:f>
        <x:v>0</x:v>
      </x:c>
      <x:c r="H504" s="5" t="str">
        <x:v>Silver</x:v>
      </x:c>
      <x:c r="I504" s="5" t="n">
        <x:v>39</x:v>
      </x:c>
      <x:c r="J504" s="5" t="n">
        <x:v>21</x:v>
      </x:c>
      <x:c r="K504" s="5" t="str">
        <x:v>rate</x:v>
      </x:c>
      <x:c r="L504" s="5" t="str"/>
    </x:row>
    <x:row r="505" ht="20" hidden="0" customHeight="1">
      <x:c r="A505" s="5" t="str">
        <x:v>paired_ablation</x:v>
      </x:c>
      <x:c r="B505" s="5" t="str">
        <x:v>holdout</x:v>
      </x:c>
      <x:c r="C505" s="5" t="str">
        <x:v>D2_DEEPSEEK_REPLAY</x:v>
      </x:c>
      <x:c r="D505" s="5" t="str">
        <x:v>technical_mechanism_correct_rate</x:v>
      </x:c>
      <x:c r="E505" s="5" t="n">
        <x:v>24</x:v>
      </x:c>
      <x:c r="F505" s="5" t="n">
        <x:v>27</x:v>
      </x:c>
      <x:c r="G505" s="10" t="n">
        <x:f>IF(COUNTBLANK(E505:F505)&gt;0,"N/A",IF(F505=0,"N/A",E505/F505))</x:f>
        <x:v>0.8888888888888888</x:v>
      </x:c>
      <x:c r="H505" s="5" t="str">
        <x:v>Silver</x:v>
      </x:c>
      <x:c r="I505" s="5" t="n">
        <x:v>39</x:v>
      </x:c>
      <x:c r="J505" s="5" t="n">
        <x:v>12</x:v>
      </x:c>
      <x:c r="K505" s="5" t="str">
        <x:v>rate</x:v>
      </x:c>
      <x:c r="L505" s="5" t="str">
        <x:v>Correct / {Correct,Partially Correct,Incorrect}; insufficient and uncertain excluded; same-model Silver</x:v>
      </x:c>
    </x:row>
    <x:row r="506" ht="20" hidden="0" customHeight="1">
      <x:c r="A506" s="5" t="str">
        <x:v>paired_ablation</x:v>
      </x:c>
      <x:c r="B506" s="5" t="str">
        <x:v>holdout</x:v>
      </x:c>
      <x:c r="C506" s="5" t="str">
        <x:v>D2_DEEPSEEK_REPLAY</x:v>
      </x:c>
      <x:c r="D506" s="5" t="str">
        <x:v>technical_mechanism_partially_correct_rate</x:v>
      </x:c>
      <x:c r="E506" s="5" t="n">
        <x:v>3</x:v>
      </x:c>
      <x:c r="F506" s="5" t="n">
        <x:v>27</x:v>
      </x:c>
      <x:c r="G506" s="10" t="n">
        <x:f>IF(COUNTBLANK(E506:F506)&gt;0,"N/A",IF(F506=0,"N/A",E506/F506))</x:f>
        <x:v>0.1111111111111111</x:v>
      </x:c>
      <x:c r="H506" s="5" t="str">
        <x:v>Silver</x:v>
      </x:c>
      <x:c r="I506" s="5" t="n">
        <x:v>39</x:v>
      </x:c>
      <x:c r="J506" s="5" t="n">
        <x:v>12</x:v>
      </x:c>
      <x:c r="K506" s="5" t="str">
        <x:v>rate</x:v>
      </x:c>
      <x:c r="L506" s="5" t="str"/>
    </x:row>
    <x:row r="507" ht="20" hidden="0" customHeight="1">
      <x:c r="A507" s="5" t="str">
        <x:v>paired_ablation</x:v>
      </x:c>
      <x:c r="B507" s="5" t="str">
        <x:v>holdout</x:v>
      </x:c>
      <x:c r="C507" s="5" t="str">
        <x:v>D2_DEEPSEEK_REPLAY</x:v>
      </x:c>
      <x:c r="D507" s="5" t="str">
        <x:v>materials_correct_rate</x:v>
      </x:c>
      <x:c r="E507" s="5" t="n">
        <x:v>7</x:v>
      </x:c>
      <x:c r="F507" s="5" t="n">
        <x:v>10</x:v>
      </x:c>
      <x:c r="G507" s="10" t="n">
        <x:f>IF(COUNTBLANK(E507:F507)&gt;0,"N/A",IF(F507=0,"N/A",E507/F507))</x:f>
        <x:v>0.7</x:v>
      </x:c>
      <x:c r="H507" s="5" t="str">
        <x:v>Silver</x:v>
      </x:c>
      <x:c r="I507" s="5" t="n">
        <x:v>39</x:v>
      </x:c>
      <x:c r="J507" s="5" t="n">
        <x:v>29</x:v>
      </x:c>
      <x:c r="K507" s="5" t="str">
        <x:v>rate</x:v>
      </x:c>
      <x:c r="L507" s="5" t="str">
        <x:v>Correct / {Correct,Partially Correct,Incorrect}; insufficient and uncertain excluded; same-model Silver</x:v>
      </x:c>
    </x:row>
    <x:row r="508" ht="20" hidden="0" customHeight="1">
      <x:c r="A508" s="5" t="str">
        <x:v>paired_ablation</x:v>
      </x:c>
      <x:c r="B508" s="5" t="str">
        <x:v>holdout</x:v>
      </x:c>
      <x:c r="C508" s="5" t="str">
        <x:v>D2_DEEPSEEK_REPLAY</x:v>
      </x:c>
      <x:c r="D508" s="5" t="str">
        <x:v>materials_partially_correct_rate</x:v>
      </x:c>
      <x:c r="E508" s="5" t="n">
        <x:v>3</x:v>
      </x:c>
      <x:c r="F508" s="5" t="n">
        <x:v>10</x:v>
      </x:c>
      <x:c r="G508" s="10" t="n">
        <x:f>IF(COUNTBLANK(E508:F508)&gt;0,"N/A",IF(F508=0,"N/A",E508/F508))</x:f>
        <x:v>0.3</x:v>
      </x:c>
      <x:c r="H508" s="5" t="str">
        <x:v>Silver</x:v>
      </x:c>
      <x:c r="I508" s="5" t="n">
        <x:v>39</x:v>
      </x:c>
      <x:c r="J508" s="5" t="n">
        <x:v>29</x:v>
      </x:c>
      <x:c r="K508" s="5" t="str">
        <x:v>rate</x:v>
      </x:c>
      <x:c r="L508" s="5" t="str"/>
    </x:row>
    <x:row r="509" ht="20" hidden="0" customHeight="1">
      <x:c r="A509" s="5" t="str">
        <x:v>paired_ablation</x:v>
      </x:c>
      <x:c r="B509" s="5" t="str">
        <x:v>holdout</x:v>
      </x:c>
      <x:c r="C509" s="5" t="str">
        <x:v>D2_DEEPSEEK_REPLAY</x:v>
      </x:c>
      <x:c r="D509" s="5" t="str">
        <x:v>process_method_correct_rate</x:v>
      </x:c>
      <x:c r="E509" s="5" t="n">
        <x:v>13</x:v>
      </x:c>
      <x:c r="F509" s="5" t="n">
        <x:v>15</x:v>
      </x:c>
      <x:c r="G509" s="10" t="n">
        <x:f>IF(COUNTBLANK(E509:F509)&gt;0,"N/A",IF(F509=0,"N/A",E509/F509))</x:f>
        <x:v>0.8666666666666667</x:v>
      </x:c>
      <x:c r="H509" s="5" t="str">
        <x:v>Silver</x:v>
      </x:c>
      <x:c r="I509" s="5" t="n">
        <x:v>39</x:v>
      </x:c>
      <x:c r="J509" s="5" t="n">
        <x:v>24</x:v>
      </x:c>
      <x:c r="K509" s="5" t="str">
        <x:v>rate</x:v>
      </x:c>
      <x:c r="L509" s="5" t="str">
        <x:v>Correct / {Correct,Partially Correct,Incorrect}; insufficient and uncertain excluded; same-model Silver</x:v>
      </x:c>
    </x:row>
    <x:row r="510" ht="20" hidden="0" customHeight="1">
      <x:c r="A510" s="5" t="str">
        <x:v>paired_ablation</x:v>
      </x:c>
      <x:c r="B510" s="5" t="str">
        <x:v>holdout</x:v>
      </x:c>
      <x:c r="C510" s="5" t="str">
        <x:v>D2_DEEPSEEK_REPLAY</x:v>
      </x:c>
      <x:c r="D510" s="5" t="str">
        <x:v>process_method_partially_correct_rate</x:v>
      </x:c>
      <x:c r="E510" s="5" t="n">
        <x:v>2</x:v>
      </x:c>
      <x:c r="F510" s="5" t="n">
        <x:v>15</x:v>
      </x:c>
      <x:c r="G510" s="10" t="n">
        <x:f>IF(COUNTBLANK(E510:F510)&gt;0,"N/A",IF(F510=0,"N/A",E510/F510))</x:f>
        <x:v>0.13333333333333333</x:v>
      </x:c>
      <x:c r="H510" s="5" t="str">
        <x:v>Silver</x:v>
      </x:c>
      <x:c r="I510" s="5" t="n">
        <x:v>39</x:v>
      </x:c>
      <x:c r="J510" s="5" t="n">
        <x:v>24</x:v>
      </x:c>
      <x:c r="K510" s="5" t="str">
        <x:v>rate</x:v>
      </x:c>
      <x:c r="L510" s="5" t="str"/>
    </x:row>
    <x:row r="511" ht="20" hidden="0" customHeight="1">
      <x:c r="A511" s="5" t="str">
        <x:v>paired_ablation</x:v>
      </x:c>
      <x:c r="B511" s="5" t="str">
        <x:v>holdout</x:v>
      </x:c>
      <x:c r="C511" s="5" t="str">
        <x:v>D2_DEEPSEEK_REPLAY</x:v>
      </x:c>
      <x:c r="D511" s="5" t="str">
        <x:v>process_order_correct_rate</x:v>
      </x:c>
      <x:c r="E511" s="5" t="n">
        <x:v>4</x:v>
      </x:c>
      <x:c r="F511" s="5" t="n">
        <x:v>7</x:v>
      </x:c>
      <x:c r="G511" s="10" t="n">
        <x:f>IF(COUNTBLANK(E511:F511)&gt;0,"N/A",IF(F511=0,"N/A",E511/F511))</x:f>
        <x:v>0.5714285714285714</x:v>
      </x:c>
      <x:c r="H511" s="5" t="str">
        <x:v>Silver</x:v>
      </x:c>
      <x:c r="I511" s="5" t="n">
        <x:v>39</x:v>
      </x:c>
      <x:c r="J511" s="5" t="n">
        <x:v>32</x:v>
      </x:c>
      <x:c r="K511" s="5" t="str">
        <x:v>rate</x:v>
      </x:c>
      <x:c r="L511" s="5" t="str">
        <x:v>Correct / {Correct,Partially Correct,Incorrect}; insufficient and uncertain excluded; same-model Silver</x:v>
      </x:c>
    </x:row>
    <x:row r="512" ht="20" hidden="0" customHeight="1">
      <x:c r="A512" s="5" t="str">
        <x:v>paired_ablation</x:v>
      </x:c>
      <x:c r="B512" s="5" t="str">
        <x:v>holdout</x:v>
      </x:c>
      <x:c r="C512" s="5" t="str">
        <x:v>D2_DEEPSEEK_REPLAY</x:v>
      </x:c>
      <x:c r="D512" s="5" t="str">
        <x:v>process_order_partially_correct_rate</x:v>
      </x:c>
      <x:c r="E512" s="5" t="n">
        <x:v>3</x:v>
      </x:c>
      <x:c r="F512" s="5" t="n">
        <x:v>7</x:v>
      </x:c>
      <x:c r="G512" s="10" t="n">
        <x:f>IF(COUNTBLANK(E512:F512)&gt;0,"N/A",IF(F512=0,"N/A",E512/F512))</x:f>
        <x:v>0.42857142857142855</x:v>
      </x:c>
      <x:c r="H512" s="5" t="str">
        <x:v>Silver</x:v>
      </x:c>
      <x:c r="I512" s="5" t="n">
        <x:v>39</x:v>
      </x:c>
      <x:c r="J512" s="5" t="n">
        <x:v>32</x:v>
      </x:c>
      <x:c r="K512" s="5" t="str">
        <x:v>rate</x:v>
      </x:c>
      <x:c r="L512" s="5" t="str"/>
    </x:row>
    <x:row r="513" ht="20" hidden="0" customHeight="1">
      <x:c r="A513" s="5" t="str">
        <x:v>paired_ablation</x:v>
      </x:c>
      <x:c r="B513" s="5" t="str">
        <x:v>holdout</x:v>
      </x:c>
      <x:c r="C513" s="5" t="str">
        <x:v>D2_DEEPSEEK_REPLAY</x:v>
      </x:c>
      <x:c r="D513" s="5" t="str">
        <x:v>parameters_correct_rate</x:v>
      </x:c>
      <x:c r="E513" s="5" t="n">
        <x:v>5</x:v>
      </x:c>
      <x:c r="F513" s="5" t="n">
        <x:v>6</x:v>
      </x:c>
      <x:c r="G513" s="10" t="n">
        <x:f>IF(COUNTBLANK(E513:F513)&gt;0,"N/A",IF(F513=0,"N/A",E513/F513))</x:f>
        <x:v>0.8333333333333334</x:v>
      </x:c>
      <x:c r="H513" s="5" t="str">
        <x:v>Silver</x:v>
      </x:c>
      <x:c r="I513" s="5" t="n">
        <x:v>39</x:v>
      </x:c>
      <x:c r="J513" s="5" t="n">
        <x:v>33</x:v>
      </x:c>
      <x:c r="K513" s="5" t="str">
        <x:v>rate</x:v>
      </x:c>
      <x:c r="L513" s="5" t="str">
        <x:v>Correct / {Correct,Partially Correct,Incorrect}; insufficient and uncertain excluded; same-model Silver</x:v>
      </x:c>
    </x:row>
    <x:row r="514" ht="20" hidden="0" customHeight="1">
      <x:c r="A514" s="5" t="str">
        <x:v>paired_ablation</x:v>
      </x:c>
      <x:c r="B514" s="5" t="str">
        <x:v>holdout</x:v>
      </x:c>
      <x:c r="C514" s="5" t="str">
        <x:v>D2_DEEPSEEK_REPLAY</x:v>
      </x:c>
      <x:c r="D514" s="5" t="str">
        <x:v>parameters_partially_correct_rate</x:v>
      </x:c>
      <x:c r="E514" s="5" t="n">
        <x:v>1</x:v>
      </x:c>
      <x:c r="F514" s="5" t="n">
        <x:v>6</x:v>
      </x:c>
      <x:c r="G514" s="10" t="n">
        <x:f>IF(COUNTBLANK(E514:F514)&gt;0,"N/A",IF(F514=0,"N/A",E514/F514))</x:f>
        <x:v>0.16666666666666666</x:v>
      </x:c>
      <x:c r="H514" s="5" t="str">
        <x:v>Silver</x:v>
      </x:c>
      <x:c r="I514" s="5" t="n">
        <x:v>39</x:v>
      </x:c>
      <x:c r="J514" s="5" t="n">
        <x:v>33</x:v>
      </x:c>
      <x:c r="K514" s="5" t="str">
        <x:v>rate</x:v>
      </x:c>
      <x:c r="L514" s="5" t="str"/>
    </x:row>
    <x:row r="515" ht="20" hidden="0" customHeight="1">
      <x:c r="A515" s="5" t="str">
        <x:v>paired_ablation</x:v>
      </x:c>
      <x:c r="B515" s="5" t="str">
        <x:v>holdout</x:v>
      </x:c>
      <x:c r="C515" s="5" t="str">
        <x:v>D2_DEEPSEEK_REPLAY</x:v>
      </x:c>
      <x:c r="D515" s="5" t="str">
        <x:v>effects_correct_rate</x:v>
      </x:c>
      <x:c r="E515" s="5" t="n">
        <x:v>19</x:v>
      </x:c>
      <x:c r="F515" s="5" t="n">
        <x:v>21</x:v>
      </x:c>
      <x:c r="G515" s="10" t="n">
        <x:f>IF(COUNTBLANK(E515:F515)&gt;0,"N/A",IF(F515=0,"N/A",E515/F515))</x:f>
        <x:v>0.9047619047619048</x:v>
      </x:c>
      <x:c r="H515" s="5" t="str">
        <x:v>Silver</x:v>
      </x:c>
      <x:c r="I515" s="5" t="n">
        <x:v>39</x:v>
      </x:c>
      <x:c r="J515" s="5" t="n">
        <x:v>18</x:v>
      </x:c>
      <x:c r="K515" s="5" t="str">
        <x:v>rate</x:v>
      </x:c>
      <x:c r="L515" s="5" t="str">
        <x:v>Correct / {Correct,Partially Correct,Incorrect}; insufficient and uncertain excluded; same-model Silver</x:v>
      </x:c>
    </x:row>
    <x:row r="516" ht="20" hidden="0" customHeight="1">
      <x:c r="A516" s="5" t="str">
        <x:v>paired_ablation</x:v>
      </x:c>
      <x:c r="B516" s="5" t="str">
        <x:v>holdout</x:v>
      </x:c>
      <x:c r="C516" s="5" t="str">
        <x:v>D2_DEEPSEEK_REPLAY</x:v>
      </x:c>
      <x:c r="D516" s="5" t="str">
        <x:v>effects_partially_correct_rate</x:v>
      </x:c>
      <x:c r="E516" s="5" t="n">
        <x:v>2</x:v>
      </x:c>
      <x:c r="F516" s="5" t="n">
        <x:v>21</x:v>
      </x:c>
      <x:c r="G516" s="10" t="n">
        <x:f>IF(COUNTBLANK(E516:F516)&gt;0,"N/A",IF(F516=0,"N/A",E516/F516))</x:f>
        <x:v>0.09523809523809523</x:v>
      </x:c>
      <x:c r="H516" s="5" t="str">
        <x:v>Silver</x:v>
      </x:c>
      <x:c r="I516" s="5" t="n">
        <x:v>39</x:v>
      </x:c>
      <x:c r="J516" s="5" t="n">
        <x:v>18</x:v>
      </x:c>
      <x:c r="K516" s="5" t="str">
        <x:v>rate</x:v>
      </x:c>
      <x:c r="L516" s="5" t="str"/>
    </x:row>
    <x:row r="517" ht="20" hidden="0" customHeight="1">
      <x:c r="A517" s="5" t="str">
        <x:v>paired_ablation</x:v>
      </x:c>
      <x:c r="B517" s="5" t="str">
        <x:v>holdout</x:v>
      </x:c>
      <x:c r="C517" s="5" t="str">
        <x:v>D2_DEEPSEEK_REPLAY</x:v>
      </x:c>
      <x:c r="D517" s="5" t="str">
        <x:v>multiple_contributions_correct_rate</x:v>
      </x:c>
      <x:c r="E517" s="5" t="n">
        <x:v>22</x:v>
      </x:c>
      <x:c r="F517" s="5" t="n">
        <x:v>30</x:v>
      </x:c>
      <x:c r="G517" s="10" t="n">
        <x:f>IF(COUNTBLANK(E517:F517)&gt;0,"N/A",IF(F517=0,"N/A",E517/F517))</x:f>
        <x:v>0.7333333333333333</x:v>
      </x:c>
      <x:c r="H517" s="5" t="str">
        <x:v>Silver</x:v>
      </x:c>
      <x:c r="I517" s="5" t="n">
        <x:v>39</x:v>
      </x:c>
      <x:c r="J517" s="5" t="n">
        <x:v>9</x:v>
      </x:c>
      <x:c r="K517" s="5" t="str">
        <x:v>rate</x:v>
      </x:c>
      <x:c r="L517" s="5" t="str">
        <x:v>Correct / {Correct,Partially Correct,Incorrect}; insufficient and uncertain excluded; same-model Silver</x:v>
      </x:c>
    </x:row>
    <x:row r="518" ht="20" hidden="0" customHeight="1">
      <x:c r="A518" s="5" t="str">
        <x:v>paired_ablation</x:v>
      </x:c>
      <x:c r="B518" s="5" t="str">
        <x:v>holdout</x:v>
      </x:c>
      <x:c r="C518" s="5" t="str">
        <x:v>D2_DEEPSEEK_REPLAY</x:v>
      </x:c>
      <x:c r="D518" s="5" t="str">
        <x:v>multiple_contributions_partially_correct_rate</x:v>
      </x:c>
      <x:c r="E518" s="5" t="n">
        <x:v>4</x:v>
      </x:c>
      <x:c r="F518" s="5" t="n">
        <x:v>30</x:v>
      </x:c>
      <x:c r="G518" s="10" t="n">
        <x:f>IF(COUNTBLANK(E518:F518)&gt;0,"N/A",IF(F518=0,"N/A",E518/F518))</x:f>
        <x:v>0.13333333333333333</x:v>
      </x:c>
      <x:c r="H518" s="5" t="str">
        <x:v>Silver</x:v>
      </x:c>
      <x:c r="I518" s="5" t="n">
        <x:v>39</x:v>
      </x:c>
      <x:c r="J518" s="5" t="n">
        <x:v>9</x:v>
      </x:c>
      <x:c r="K518" s="5" t="str">
        <x:v>rate</x:v>
      </x:c>
      <x:c r="L518" s="5" t="str"/>
    </x:row>
    <x:row r="519" ht="20" hidden="0" customHeight="1">
      <x:c r="A519" s="5" t="str">
        <x:v>paired_ablation</x:v>
      </x:c>
      <x:c r="B519" s="5" t="str">
        <x:v>holdout</x:v>
      </x:c>
      <x:c r="C519" s="5" t="str">
        <x:v>D2_DEEPSEEK_REPLAY</x:v>
      </x:c>
      <x:c r="D519" s="5" t="str">
        <x:v>hallucination_correct_rate</x:v>
      </x:c>
      <x:c r="E519" s="5" t="n">
        <x:v>35</x:v>
      </x:c>
      <x:c r="F519" s="5" t="n">
        <x:v>39</x:v>
      </x:c>
      <x:c r="G519" s="10" t="n">
        <x:f>IF(COUNTBLANK(E519:F519)&gt;0,"N/A",IF(F519=0,"N/A",E519/F519))</x:f>
        <x:v>0.8974358974358975</x:v>
      </x:c>
      <x:c r="H519" s="5" t="str">
        <x:v>Silver</x:v>
      </x:c>
      <x:c r="I519" s="5" t="n">
        <x:v>39</x:v>
      </x:c>
      <x:c r="J519" s="5" t="n">
        <x:v>0</x:v>
      </x:c>
      <x:c r="K519" s="5" t="str">
        <x:v>rate</x:v>
      </x:c>
      <x:c r="L519" s="5" t="str">
        <x:v>Correct / {Correct,Partially Correct,Incorrect}; insufficient and uncertain excluded; same-model Silver</x:v>
      </x:c>
    </x:row>
    <x:row r="520" ht="20" hidden="0" customHeight="1">
      <x:c r="A520" s="5" t="str">
        <x:v>paired_ablation</x:v>
      </x:c>
      <x:c r="B520" s="5" t="str">
        <x:v>holdout</x:v>
      </x:c>
      <x:c r="C520" s="5" t="str">
        <x:v>D2_DEEPSEEK_REPLAY</x:v>
      </x:c>
      <x:c r="D520" s="5" t="str">
        <x:v>hallucination_partially_correct_rate</x:v>
      </x:c>
      <x:c r="E520" s="5" t="n">
        <x:v>2</x:v>
      </x:c>
      <x:c r="F520" s="5" t="n">
        <x:v>39</x:v>
      </x:c>
      <x:c r="G520" s="10" t="n">
        <x:f>IF(COUNTBLANK(E520:F520)&gt;0,"N/A",IF(F520=0,"N/A",E520/F520))</x:f>
        <x:v>0.05128205128205128</x:v>
      </x:c>
      <x:c r="H520" s="5" t="str">
        <x:v>Silver</x:v>
      </x:c>
      <x:c r="I520" s="5" t="n">
        <x:v>39</x:v>
      </x:c>
      <x:c r="J520" s="5" t="n">
        <x:v>0</x:v>
      </x:c>
      <x:c r="K520" s="5" t="str">
        <x:v>rate</x:v>
      </x:c>
      <x:c r="L520" s="5" t="str"/>
    </x:row>
    <x:row r="521" ht="31" hidden="0" customHeight="1">
      <x:c r="A521" s="5" t="str">
        <x:v>paired_ablation</x:v>
      </x:c>
      <x:c r="B521" s="5" t="str">
        <x:v>holdout</x:v>
      </x:c>
      <x:c r="C521" s="5" t="str">
        <x:v>D2_DEEPSEEK_REPLAY</x:v>
      </x:c>
      <x:c r="D521" s="5" t="str">
        <x:v>contribution_coverage</x:v>
      </x:c>
      <x:c r="E521" s="5" t="n">
        <x:v>30</x:v>
      </x:c>
      <x:c r="F521" s="5" t="n">
        <x:v>36</x:v>
      </x:c>
      <x:c r="G521" s="10" t="n">
        <x:f>IF(COUNTBLANK(E521:F521)&gt;0,"N/A",IF(F521=0,"N/A",E521/F521))</x:f>
        <x:v>0.8333333333333334</x:v>
      </x:c>
      <x:c r="H521" s="5" t="str">
        <x:v>Silver</x:v>
      </x:c>
      <x:c r="I521" s="5" t="n">
        <x:v>39</x:v>
      </x:c>
      <x:c r="J521" s="5" t="n">
        <x:v>9</x:v>
      </x:c>
      <x:c r="K521" s="5" t="str">
        <x:v>rate</x:v>
      </x:c>
      <x:c r="L521" s="5" t="str">
        <x:v>Source-reference denominators required consistent across matched configs; disagreements/zero applicability excluded</x:v>
      </x:c>
    </x:row>
    <x:row r="522" ht="31" hidden="0" customHeight="1">
      <x:c r="A522" s="5" t="str">
        <x:v>paired_ablation</x:v>
      </x:c>
      <x:c r="B522" s="5" t="str">
        <x:v>holdout</x:v>
      </x:c>
      <x:c r="C522" s="5" t="str">
        <x:v>D2_DEEPSEEK_REPLAY</x:v>
      </x:c>
      <x:c r="D522" s="5" t="str">
        <x:v>material_retention</x:v>
      </x:c>
      <x:c r="E522" s="5" t="n">
        <x:v>19</x:v>
      </x:c>
      <x:c r="F522" s="5" t="n">
        <x:v>27</x:v>
      </x:c>
      <x:c r="G522" s="10" t="n">
        <x:f>IF(COUNTBLANK(E522:F522)&gt;0,"N/A",IF(F522=0,"N/A",E522/F522))</x:f>
        <x:v>0.7037037037037037</x:v>
      </x:c>
      <x:c r="H522" s="5" t="str">
        <x:v>Silver</x:v>
      </x:c>
      <x:c r="I522" s="5" t="n">
        <x:v>39</x:v>
      </x:c>
      <x:c r="J522" s="5" t="n">
        <x:v>27</x:v>
      </x:c>
      <x:c r="K522" s="5" t="str">
        <x:v>rate</x:v>
      </x:c>
      <x:c r="L522" s="5" t="str">
        <x:v>Source-reference denominators required consistent across matched configs; disagreements/zero applicability excluded</x:v>
      </x:c>
    </x:row>
    <x:row r="523" ht="31" hidden="0" customHeight="1">
      <x:c r="A523" s="5" t="str">
        <x:v>paired_ablation</x:v>
      </x:c>
      <x:c r="B523" s="5" t="str">
        <x:v>holdout</x:v>
      </x:c>
      <x:c r="C523" s="5" t="str">
        <x:v>D2_DEEPSEEK_REPLAY</x:v>
      </x:c>
      <x:c r="D523" s="5" t="str">
        <x:v>process_retention</x:v>
      </x:c>
      <x:c r="E523" s="5" t="n">
        <x:v>48</x:v>
      </x:c>
      <x:c r="F523" s="5" t="n">
        <x:v>49</x:v>
      </x:c>
      <x:c r="G523" s="10" t="n">
        <x:f>IF(COUNTBLANK(E523:F523)&gt;0,"N/A",IF(F523=0,"N/A",E523/F523))</x:f>
        <x:v>0.9795918367346939</x:v>
      </x:c>
      <x:c r="H523" s="5" t="str">
        <x:v>Silver</x:v>
      </x:c>
      <x:c r="I523" s="5" t="n">
        <x:v>39</x:v>
      </x:c>
      <x:c r="J523" s="5" t="n">
        <x:v>25</x:v>
      </x:c>
      <x:c r="K523" s="5" t="str">
        <x:v>rate</x:v>
      </x:c>
      <x:c r="L523" s="5" t="str">
        <x:v>Source-reference denominators required consistent across matched configs; disagreements/zero applicability excluded</x:v>
      </x:c>
    </x:row>
    <x:row r="524" ht="20" hidden="0" customHeight="1">
      <x:c r="A524" s="5" t="str">
        <x:v>paired_ablation</x:v>
      </x:c>
      <x:c r="B524" s="5" t="str">
        <x:v>holdout</x:v>
      </x:c>
      <x:c r="C524" s="5" t="str">
        <x:v>D2_DEEPSEEK_REPLAY</x:v>
      </x:c>
      <x:c r="D524" s="5" t="str">
        <x:v>multi_contribution_omission_rate</x:v>
      </x:c>
      <x:c r="E524" s="5" t="n">
        <x:v>4</x:v>
      </x:c>
      <x:c r="F524" s="5" t="n">
        <x:v>4</x:v>
      </x:c>
      <x:c r="G524" s="10" t="n">
        <x:f>IF(COUNTBLANK(E524:F524)&gt;0,"N/A",IF(F524=0,"N/A",E524/F524))</x:f>
        <x:v>1</x:v>
      </x:c>
      <x:c r="H524" s="5" t="str">
        <x:v>Silver</x:v>
      </x:c>
      <x:c r="I524" s="5" t="n">
        <x:v>39</x:v>
      </x:c>
      <x:c r="J524" s="5" t="n">
        <x:v>35</x:v>
      </x:c>
      <x:c r="K524" s="5" t="str">
        <x:v>rate</x:v>
      </x:c>
      <x:c r="L524" s="5" t="str"/>
    </x:row>
    <x:row r="525" ht="20" hidden="0" customHeight="1">
      <x:c r="A525" s="5" t="str">
        <x:v>paired_ablation</x:v>
      </x:c>
      <x:c r="B525" s="5" t="str">
        <x:v>holdout</x:v>
      </x:c>
      <x:c r="C525" s="5" t="str">
        <x:v>D2_DEEPSEEK_REPLAY</x:v>
      </x:c>
      <x:c r="D525" s="5" t="str">
        <x:v>full_conclusion_support_rate</x:v>
      </x:c>
      <x:c r="E525" s="5" t="n">
        <x:v>21</x:v>
      </x:c>
      <x:c r="F525" s="5" t="n">
        <x:v>31</x:v>
      </x:c>
      <x:c r="G525" s="10" t="n">
        <x:f>IF(COUNTBLANK(E525:F525)&gt;0,"N/A",IF(F525=0,"N/A",E525/F525))</x:f>
        <x:v>0.6774193548387096</x:v>
      </x:c>
      <x:c r="H525" s="5" t="str">
        <x:v>Silver</x:v>
      </x:c>
      <x:c r="I525" s="5" t="n">
        <x:v>39</x:v>
      </x:c>
      <x:c r="J525" s="5" t="n">
        <x:v>8</x:v>
      </x:c>
      <x:c r="K525" s="5" t="str">
        <x:v>rate</x:v>
      </x:c>
      <x:c r="L525" s="5" t="str"/>
    </x:row>
    <x:row r="526" ht="20" hidden="0" customHeight="1">
      <x:c r="A526" s="5" t="str">
        <x:v>paired_ablation</x:v>
      </x:c>
      <x:c r="B526" s="5" t="str">
        <x:v>holdout</x:v>
      </x:c>
      <x:c r="C526" s="5" t="str">
        <x:v>D2_DEEPSEEK_REPLAY</x:v>
      </x:c>
      <x:c r="D526" s="5" t="str">
        <x:v>mean_contributions_per_family</x:v>
      </x:c>
      <x:c r="E526" s="5" t="n">
        <x:v>27</x:v>
      </x:c>
      <x:c r="F526" s="5" t="n">
        <x:v>39</x:v>
      </x:c>
      <x:c r="G526" s="11" t="n">
        <x:f>IF(COUNTBLANK(E526:F526)&gt;0,"N/A",IF(F526=0,"N/A",E526/F526))</x:f>
        <x:v>0.6923076923076923</x:v>
      </x:c>
      <x:c r="H526" s="5" t="str">
        <x:v>Silver</x:v>
      </x:c>
      <x:c r="I526" s="5" t="n">
        <x:v>39</x:v>
      </x:c>
      <x:c r="J526" s="5" t="n">
        <x:v>0</x:v>
      </x:c>
      <x:c r="K526" s="5" t="str">
        <x:v>contributions/family</x:v>
      </x:c>
      <x:c r="L526" s="5" t="str"/>
    </x:row>
    <x:row r="527" ht="20" hidden="0" customHeight="1">
      <x:c r="A527" s="5" t="str">
        <x:v>paired_ablation</x:v>
      </x:c>
      <x:c r="B527" s="5" t="str">
        <x:v>holdout</x:v>
      </x:c>
      <x:c r="C527" s="5" t="str">
        <x:v>D2_DEEPSEEK_REPLAY</x:v>
      </x:c>
      <x:c r="D527" s="5" t="str">
        <x:v>oversplit_contribution_rate</x:v>
      </x:c>
      <x:c r="E527" s="5" t="n">
        <x:v>0</x:v>
      </x:c>
      <x:c r="F527" s="5" t="n">
        <x:v>27</x:v>
      </x:c>
      <x:c r="G527" s="10" t="n">
        <x:f>IF(COUNTBLANK(E527:F527)&gt;0,"N/A",IF(F527=0,"N/A",E527/F527))</x:f>
        <x:v>0</x:v>
      </x:c>
      <x:c r="H527" s="5" t="str">
        <x:v>Silver</x:v>
      </x:c>
      <x:c r="I527" s="5" t="n">
        <x:v>39</x:v>
      </x:c>
      <x:c r="J527" s="5" t="n">
        <x:v>0</x:v>
      </x:c>
      <x:c r="K527" s="5" t="str">
        <x:v>rate</x:v>
      </x:c>
      <x:c r="L527" s="5" t="str">
        <x:v>Auditor oversplit units / actual explicit output units; not a human error rate</x:v>
      </x:c>
    </x:row>
    <x:row r="528" ht="20" hidden="0" customHeight="1">
      <x:c r="A528" s="5" t="str">
        <x:v>paired_ablation</x:v>
      </x:c>
      <x:c r="B528" s="5" t="str">
        <x:v>holdout</x:v>
      </x:c>
      <x:c r="C528" s="5" t="str">
        <x:v>D2_DEEPSEEK_REPLAY</x:v>
      </x:c>
      <x:c r="D528" s="5" t="str">
        <x:v>hallucinated_contribution_rate</x:v>
      </x:c>
      <x:c r="E528" s="5" t="n">
        <x:v>4</x:v>
      </x:c>
      <x:c r="F528" s="5" t="n">
        <x:v>27</x:v>
      </x:c>
      <x:c r="G528" s="10" t="n">
        <x:f>IF(COUNTBLANK(E528:F528)&gt;0,"N/A",IF(F528=0,"N/A",E528/F528))</x:f>
        <x:v>0.14814814814814814</x:v>
      </x:c>
      <x:c r="H528" s="5" t="str">
        <x:v>Silver</x:v>
      </x:c>
      <x:c r="I528" s="5" t="n">
        <x:v>39</x:v>
      </x:c>
      <x:c r="J528" s="5" t="n">
        <x:v>0</x:v>
      </x:c>
      <x:c r="K528" s="5" t="str">
        <x:v>rate</x:v>
      </x:c>
      <x:c r="L528" s="5" t="str"/>
    </x:row>
    <x:row r="529" ht="20" hidden="0" customHeight="1">
      <x:c r="A529" s="5" t="str">
        <x:v>paired_ablation</x:v>
      </x:c>
      <x:c r="B529" s="5" t="str">
        <x:v>holdout</x:v>
      </x:c>
      <x:c r="C529" s="5" t="str">
        <x:v>D2_DEEPSEEK_REPLAY</x:v>
      </x:c>
      <x:c r="D529" s="5" t="str">
        <x:v>technical_mechanism_gold_accuracy</x:v>
      </x:c>
      <x:c r="E529" s="5"/>
      <x:c r="F529" s="5"/>
      <x:c r="G529" s="10" t="str">
        <x:f>IF(COUNTBLANK(E529:F529)&gt;0,"N/A",IF(F529=0,"N/A",E529/F529))</x:f>
        <x:v>N/A</x:v>
      </x:c>
      <x:c r="H529" s="5" t="str">
        <x:v>Gold</x:v>
      </x:c>
      <x:c r="I529" s="5" t="n">
        <x:v>0</x:v>
      </x:c>
      <x:c r="J529" s="5" t="n">
        <x:v>0</x:v>
      </x:c>
      <x:c r="K529" s="5" t="str">
        <x:v>rate</x:v>
      </x:c>
      <x:c r="L529" s="5" t="str">
        <x:v>N/A: zero independent human Gold labels; AI must not be promoted to human truth</x:v>
      </x:c>
    </x:row>
    <x:row r="530" ht="20" hidden="0" customHeight="1">
      <x:c r="A530" s="5" t="str">
        <x:v>paired_ablation</x:v>
      </x:c>
      <x:c r="B530" s="5" t="str">
        <x:v>holdout</x:v>
      </x:c>
      <x:c r="C530" s="5" t="str">
        <x:v>D2_DEEPSEEK_REPLAY</x:v>
      </x:c>
      <x:c r="D530" s="5" t="str">
        <x:v>materials_gold_accuracy</x:v>
      </x:c>
      <x:c r="E530" s="5"/>
      <x:c r="F530" s="5"/>
      <x:c r="G530" s="10" t="str">
        <x:f>IF(COUNTBLANK(E530:F530)&gt;0,"N/A",IF(F530=0,"N/A",E530/F530))</x:f>
        <x:v>N/A</x:v>
      </x:c>
      <x:c r="H530" s="5" t="str">
        <x:v>Gold</x:v>
      </x:c>
      <x:c r="I530" s="5" t="n">
        <x:v>0</x:v>
      </x:c>
      <x:c r="J530" s="5" t="n">
        <x:v>0</x:v>
      </x:c>
      <x:c r="K530" s="5" t="str">
        <x:v>rate</x:v>
      </x:c>
      <x:c r="L530" s="5" t="str">
        <x:v>N/A: zero independent human Gold labels; AI must not be promoted to human truth</x:v>
      </x:c>
    </x:row>
    <x:row r="531" ht="20" hidden="0" customHeight="1">
      <x:c r="A531" s="5" t="str">
        <x:v>paired_ablation</x:v>
      </x:c>
      <x:c r="B531" s="5" t="str">
        <x:v>holdout</x:v>
      </x:c>
      <x:c r="C531" s="5" t="str">
        <x:v>D2_DEEPSEEK_REPLAY</x:v>
      </x:c>
      <x:c r="D531" s="5" t="str">
        <x:v>process_method_gold_accuracy</x:v>
      </x:c>
      <x:c r="E531" s="5"/>
      <x:c r="F531" s="5"/>
      <x:c r="G531" s="10" t="str">
        <x:f>IF(COUNTBLANK(E531:F531)&gt;0,"N/A",IF(F531=0,"N/A",E531/F531))</x:f>
        <x:v>N/A</x:v>
      </x:c>
      <x:c r="H531" s="5" t="str">
        <x:v>Gold</x:v>
      </x:c>
      <x:c r="I531" s="5" t="n">
        <x:v>0</x:v>
      </x:c>
      <x:c r="J531" s="5" t="n">
        <x:v>0</x:v>
      </x:c>
      <x:c r="K531" s="5" t="str">
        <x:v>rate</x:v>
      </x:c>
      <x:c r="L531" s="5" t="str">
        <x:v>N/A: zero independent human Gold labels; AI must not be promoted to human truth</x:v>
      </x:c>
    </x:row>
    <x:row r="532" ht="20" hidden="0" customHeight="1">
      <x:c r="A532" s="5" t="str">
        <x:v>paired_ablation</x:v>
      </x:c>
      <x:c r="B532" s="5" t="str">
        <x:v>holdout</x:v>
      </x:c>
      <x:c r="C532" s="5" t="str">
        <x:v>D2_DEEPSEEK_REPLAY</x:v>
      </x:c>
      <x:c r="D532" s="5" t="str">
        <x:v>parameters_gold_accuracy</x:v>
      </x:c>
      <x:c r="E532" s="5"/>
      <x:c r="F532" s="5"/>
      <x:c r="G532" s="10" t="str">
        <x:f>IF(COUNTBLANK(E532:F532)&gt;0,"N/A",IF(F532=0,"N/A",E532/F532))</x:f>
        <x:v>N/A</x:v>
      </x:c>
      <x:c r="H532" s="5" t="str">
        <x:v>Gold</x:v>
      </x:c>
      <x:c r="I532" s="5" t="n">
        <x:v>0</x:v>
      </x:c>
      <x:c r="J532" s="5" t="n">
        <x:v>0</x:v>
      </x:c>
      <x:c r="K532" s="5" t="str">
        <x:v>rate</x:v>
      </x:c>
      <x:c r="L532" s="5" t="str">
        <x:v>N/A: zero independent human Gold labels; AI must not be promoted to human truth</x:v>
      </x:c>
    </x:row>
    <x:row r="533" ht="20" hidden="0" customHeight="1">
      <x:c r="A533" s="5" t="str">
        <x:v>paired_ablation</x:v>
      </x:c>
      <x:c r="B533" s="5" t="str">
        <x:v>holdout</x:v>
      </x:c>
      <x:c r="C533" s="5" t="str">
        <x:v>D2_DEEPSEEK_REPLAY</x:v>
      </x:c>
      <x:c r="D533" s="5" t="str">
        <x:v>multiple_contributions_gold_accuracy</x:v>
      </x:c>
      <x:c r="E533" s="5"/>
      <x:c r="F533" s="5"/>
      <x:c r="G533" s="10" t="str">
        <x:f>IF(COUNTBLANK(E533:F533)&gt;0,"N/A",IF(F533=0,"N/A",E533/F533))</x:f>
        <x:v>N/A</x:v>
      </x:c>
      <x:c r="H533" s="5" t="str">
        <x:v>Gold</x:v>
      </x:c>
      <x:c r="I533" s="5" t="n">
        <x:v>0</x:v>
      </x:c>
      <x:c r="J533" s="5" t="n">
        <x:v>0</x:v>
      </x:c>
      <x:c r="K533" s="5" t="str">
        <x:v>rate</x:v>
      </x:c>
      <x:c r="L533" s="5" t="str">
        <x:v>N/A: zero independent human Gold labels; AI must not be promoted to human truth</x:v>
      </x:c>
    </x:row>
    <x:row r="534" ht="20" hidden="0" customHeight="1">
      <x:c r="A534" s="5" t="str">
        <x:v>paired_ablation</x:v>
      </x:c>
      <x:c r="B534" s="5" t="str">
        <x:v>holdout</x:v>
      </x:c>
      <x:c r="C534" s="5" t="str">
        <x:v>D3_EXTRACT_ONLY</x:v>
      </x:c>
      <x:c r="D534" s="5" t="str">
        <x:v>technical_object_correct_rate</x:v>
      </x:c>
      <x:c r="E534" s="5" t="n">
        <x:v>26</x:v>
      </x:c>
      <x:c r="F534" s="5" t="n">
        <x:v>27</x:v>
      </x:c>
      <x:c r="G534" s="10" t="n">
        <x:f>IF(COUNTBLANK(E534:F534)&gt;0,"N/A",IF(F534=0,"N/A",E534/F534))</x:f>
        <x:v>0.9629629629629629</x:v>
      </x:c>
      <x:c r="H534" s="5" t="str">
        <x:v>Silver</x:v>
      </x:c>
      <x:c r="I534" s="5" t="n">
        <x:v>39</x:v>
      </x:c>
      <x:c r="J534" s="5" t="n">
        <x:v>12</x:v>
      </x:c>
      <x:c r="K534" s="5" t="str">
        <x:v>rate</x:v>
      </x:c>
      <x:c r="L534" s="5" t="str">
        <x:v>Correct / {Correct,Partially Correct,Incorrect}; insufficient and uncertain excluded; same-model Silver</x:v>
      </x:c>
    </x:row>
    <x:row r="535" ht="20" hidden="0" customHeight="1">
      <x:c r="A535" s="5" t="str">
        <x:v>paired_ablation</x:v>
      </x:c>
      <x:c r="B535" s="5" t="str">
        <x:v>holdout</x:v>
      </x:c>
      <x:c r="C535" s="5" t="str">
        <x:v>D3_EXTRACT_ONLY</x:v>
      </x:c>
      <x:c r="D535" s="5" t="str">
        <x:v>technical_object_partially_correct_rate</x:v>
      </x:c>
      <x:c r="E535" s="5" t="n">
        <x:v>1</x:v>
      </x:c>
      <x:c r="F535" s="5" t="n">
        <x:v>27</x:v>
      </x:c>
      <x:c r="G535" s="10" t="n">
        <x:f>IF(COUNTBLANK(E535:F535)&gt;0,"N/A",IF(F535=0,"N/A",E535/F535))</x:f>
        <x:v>0.037037037037037035</x:v>
      </x:c>
      <x:c r="H535" s="5" t="str">
        <x:v>Silver</x:v>
      </x:c>
      <x:c r="I535" s="5" t="n">
        <x:v>39</x:v>
      </x:c>
      <x:c r="J535" s="5" t="n">
        <x:v>12</x:v>
      </x:c>
      <x:c r="K535" s="5" t="str">
        <x:v>rate</x:v>
      </x:c>
      <x:c r="L535" s="5" t="str"/>
    </x:row>
    <x:row r="536" ht="20" hidden="0" customHeight="1">
      <x:c r="A536" s="5" t="str">
        <x:v>paired_ablation</x:v>
      </x:c>
      <x:c r="B536" s="5" t="str">
        <x:v>holdout</x:v>
      </x:c>
      <x:c r="C536" s="5" t="str">
        <x:v>D3_EXTRACT_ONLY</x:v>
      </x:c>
      <x:c r="D536" s="5" t="str">
        <x:v>technical_problem_correct_rate</x:v>
      </x:c>
      <x:c r="E536" s="5" t="n">
        <x:v>17</x:v>
      </x:c>
      <x:c r="F536" s="5" t="n">
        <x:v>19</x:v>
      </x:c>
      <x:c r="G536" s="10" t="n">
        <x:f>IF(COUNTBLANK(E536:F536)&gt;0,"N/A",IF(F536=0,"N/A",E536/F536))</x:f>
        <x:v>0.8947368421052632</x:v>
      </x:c>
      <x:c r="H536" s="5" t="str">
        <x:v>Silver</x:v>
      </x:c>
      <x:c r="I536" s="5" t="n">
        <x:v>39</x:v>
      </x:c>
      <x:c r="J536" s="5" t="n">
        <x:v>20</x:v>
      </x:c>
      <x:c r="K536" s="5" t="str">
        <x:v>rate</x:v>
      </x:c>
      <x:c r="L536" s="5" t="str">
        <x:v>Correct / {Correct,Partially Correct,Incorrect}; insufficient and uncertain excluded; same-model Silver</x:v>
      </x:c>
    </x:row>
    <x:row r="537" ht="20" hidden="0" customHeight="1">
      <x:c r="A537" s="5" t="str">
        <x:v>paired_ablation</x:v>
      </x:c>
      <x:c r="B537" s="5" t="str">
        <x:v>holdout</x:v>
      </x:c>
      <x:c r="C537" s="5" t="str">
        <x:v>D3_EXTRACT_ONLY</x:v>
      </x:c>
      <x:c r="D537" s="5" t="str">
        <x:v>technical_problem_partially_correct_rate</x:v>
      </x:c>
      <x:c r="E537" s="5" t="n">
        <x:v>2</x:v>
      </x:c>
      <x:c r="F537" s="5" t="n">
        <x:v>19</x:v>
      </x:c>
      <x:c r="G537" s="10" t="n">
        <x:f>IF(COUNTBLANK(E537:F537)&gt;0,"N/A",IF(F537=0,"N/A",E537/F537))</x:f>
        <x:v>0.10526315789473684</x:v>
      </x:c>
      <x:c r="H537" s="5" t="str">
        <x:v>Silver</x:v>
      </x:c>
      <x:c r="I537" s="5" t="n">
        <x:v>39</x:v>
      </x:c>
      <x:c r="J537" s="5" t="n">
        <x:v>20</x:v>
      </x:c>
      <x:c r="K537" s="5" t="str">
        <x:v>rate</x:v>
      </x:c>
      <x:c r="L537" s="5" t="str"/>
    </x:row>
    <x:row r="538" ht="20" hidden="0" customHeight="1">
      <x:c r="A538" s="5" t="str">
        <x:v>paired_ablation</x:v>
      </x:c>
      <x:c r="B538" s="5" t="str">
        <x:v>holdout</x:v>
      </x:c>
      <x:c r="C538" s="5" t="str">
        <x:v>D3_EXTRACT_ONLY</x:v>
      </x:c>
      <x:c r="D538" s="5" t="str">
        <x:v>technical_mechanism_correct_rate</x:v>
      </x:c>
      <x:c r="E538" s="5" t="n">
        <x:v>24</x:v>
      </x:c>
      <x:c r="F538" s="5" t="n">
        <x:v>24</x:v>
      </x:c>
      <x:c r="G538" s="10" t="n">
        <x:f>IF(COUNTBLANK(E538:F538)&gt;0,"N/A",IF(F538=0,"N/A",E538/F538))</x:f>
        <x:v>1</x:v>
      </x:c>
      <x:c r="H538" s="5" t="str">
        <x:v>Silver</x:v>
      </x:c>
      <x:c r="I538" s="5" t="n">
        <x:v>39</x:v>
      </x:c>
      <x:c r="J538" s="5" t="n">
        <x:v>15</x:v>
      </x:c>
      <x:c r="K538" s="5" t="str">
        <x:v>rate</x:v>
      </x:c>
      <x:c r="L538" s="5" t="str">
        <x:v>Correct / {Correct,Partially Correct,Incorrect}; insufficient and uncertain excluded; same-model Silver</x:v>
      </x:c>
    </x:row>
    <x:row r="539" ht="20" hidden="0" customHeight="1">
      <x:c r="A539" s="5" t="str">
        <x:v>paired_ablation</x:v>
      </x:c>
      <x:c r="B539" s="5" t="str">
        <x:v>holdout</x:v>
      </x:c>
      <x:c r="C539" s="5" t="str">
        <x:v>D3_EXTRACT_ONLY</x:v>
      </x:c>
      <x:c r="D539" s="5" t="str">
        <x:v>technical_mechanism_partially_correct_rate</x:v>
      </x:c>
      <x:c r="E539" s="5" t="n">
        <x:v>0</x:v>
      </x:c>
      <x:c r="F539" s="5" t="n">
        <x:v>24</x:v>
      </x:c>
      <x:c r="G539" s="10" t="n">
        <x:f>IF(COUNTBLANK(E539:F539)&gt;0,"N/A",IF(F539=0,"N/A",E539/F539))</x:f>
        <x:v>0</x:v>
      </x:c>
      <x:c r="H539" s="5" t="str">
        <x:v>Silver</x:v>
      </x:c>
      <x:c r="I539" s="5" t="n">
        <x:v>39</x:v>
      </x:c>
      <x:c r="J539" s="5" t="n">
        <x:v>15</x:v>
      </x:c>
      <x:c r="K539" s="5" t="str">
        <x:v>rate</x:v>
      </x:c>
      <x:c r="L539" s="5" t="str"/>
    </x:row>
    <x:row r="540" ht="20" hidden="0" customHeight="1">
      <x:c r="A540" s="5" t="str">
        <x:v>paired_ablation</x:v>
      </x:c>
      <x:c r="B540" s="5" t="str">
        <x:v>holdout</x:v>
      </x:c>
      <x:c r="C540" s="5" t="str">
        <x:v>D3_EXTRACT_ONLY</x:v>
      </x:c>
      <x:c r="D540" s="5" t="str">
        <x:v>materials_correct_rate</x:v>
      </x:c>
      <x:c r="E540" s="5" t="n">
        <x:v>7</x:v>
      </x:c>
      <x:c r="F540" s="5" t="n">
        <x:v>14</x:v>
      </x:c>
      <x:c r="G540" s="10" t="n">
        <x:f>IF(COUNTBLANK(E540:F540)&gt;0,"N/A",IF(F540=0,"N/A",E540/F540))</x:f>
        <x:v>0.5</x:v>
      </x:c>
      <x:c r="H540" s="5" t="str">
        <x:v>Silver</x:v>
      </x:c>
      <x:c r="I540" s="5" t="n">
        <x:v>39</x:v>
      </x:c>
      <x:c r="J540" s="5" t="n">
        <x:v>25</x:v>
      </x:c>
      <x:c r="K540" s="5" t="str">
        <x:v>rate</x:v>
      </x:c>
      <x:c r="L540" s="5" t="str">
        <x:v>Correct / {Correct,Partially Correct,Incorrect}; insufficient and uncertain excluded; same-model Silver</x:v>
      </x:c>
    </x:row>
    <x:row r="541" ht="20" hidden="0" customHeight="1">
      <x:c r="A541" s="5" t="str">
        <x:v>paired_ablation</x:v>
      </x:c>
      <x:c r="B541" s="5" t="str">
        <x:v>holdout</x:v>
      </x:c>
      <x:c r="C541" s="5" t="str">
        <x:v>D3_EXTRACT_ONLY</x:v>
      </x:c>
      <x:c r="D541" s="5" t="str">
        <x:v>materials_partially_correct_rate</x:v>
      </x:c>
      <x:c r="E541" s="5" t="n">
        <x:v>7</x:v>
      </x:c>
      <x:c r="F541" s="5" t="n">
        <x:v>14</x:v>
      </x:c>
      <x:c r="G541" s="10" t="n">
        <x:f>IF(COUNTBLANK(E541:F541)&gt;0,"N/A",IF(F541=0,"N/A",E541/F541))</x:f>
        <x:v>0.5</x:v>
      </x:c>
      <x:c r="H541" s="5" t="str">
        <x:v>Silver</x:v>
      </x:c>
      <x:c r="I541" s="5" t="n">
        <x:v>39</x:v>
      </x:c>
      <x:c r="J541" s="5" t="n">
        <x:v>25</x:v>
      </x:c>
      <x:c r="K541" s="5" t="str">
        <x:v>rate</x:v>
      </x:c>
      <x:c r="L541" s="5" t="str"/>
    </x:row>
    <x:row r="542" ht="20" hidden="0" customHeight="1">
      <x:c r="A542" s="5" t="str">
        <x:v>paired_ablation</x:v>
      </x:c>
      <x:c r="B542" s="5" t="str">
        <x:v>holdout</x:v>
      </x:c>
      <x:c r="C542" s="5" t="str">
        <x:v>D3_EXTRACT_ONLY</x:v>
      </x:c>
      <x:c r="D542" s="5" t="str">
        <x:v>process_method_correct_rate</x:v>
      </x:c>
      <x:c r="E542" s="5" t="n">
        <x:v>14</x:v>
      </x:c>
      <x:c r="F542" s="5" t="n">
        <x:v>14</x:v>
      </x:c>
      <x:c r="G542" s="10" t="n">
        <x:f>IF(COUNTBLANK(E542:F542)&gt;0,"N/A",IF(F542=0,"N/A",E542/F542))</x:f>
        <x:v>1</x:v>
      </x:c>
      <x:c r="H542" s="5" t="str">
        <x:v>Silver</x:v>
      </x:c>
      <x:c r="I542" s="5" t="n">
        <x:v>39</x:v>
      </x:c>
      <x:c r="J542" s="5" t="n">
        <x:v>25</x:v>
      </x:c>
      <x:c r="K542" s="5" t="str">
        <x:v>rate</x:v>
      </x:c>
      <x:c r="L542" s="5" t="str">
        <x:v>Correct / {Correct,Partially Correct,Incorrect}; insufficient and uncertain excluded; same-model Silver</x:v>
      </x:c>
    </x:row>
    <x:row r="543" ht="20" hidden="0" customHeight="1">
      <x:c r="A543" s="5" t="str">
        <x:v>paired_ablation</x:v>
      </x:c>
      <x:c r="B543" s="5" t="str">
        <x:v>holdout</x:v>
      </x:c>
      <x:c r="C543" s="5" t="str">
        <x:v>D3_EXTRACT_ONLY</x:v>
      </x:c>
      <x:c r="D543" s="5" t="str">
        <x:v>process_method_partially_correct_rate</x:v>
      </x:c>
      <x:c r="E543" s="5" t="n">
        <x:v>0</x:v>
      </x:c>
      <x:c r="F543" s="5" t="n">
        <x:v>14</x:v>
      </x:c>
      <x:c r="G543" s="10" t="n">
        <x:f>IF(COUNTBLANK(E543:F543)&gt;0,"N/A",IF(F543=0,"N/A",E543/F543))</x:f>
        <x:v>0</x:v>
      </x:c>
      <x:c r="H543" s="5" t="str">
        <x:v>Silver</x:v>
      </x:c>
      <x:c r="I543" s="5" t="n">
        <x:v>39</x:v>
      </x:c>
      <x:c r="J543" s="5" t="n">
        <x:v>25</x:v>
      </x:c>
      <x:c r="K543" s="5" t="str">
        <x:v>rate</x:v>
      </x:c>
      <x:c r="L543" s="5" t="str"/>
    </x:row>
    <x:row r="544" ht="20" hidden="0" customHeight="1">
      <x:c r="A544" s="5" t="str">
        <x:v>paired_ablation</x:v>
      </x:c>
      <x:c r="B544" s="5" t="str">
        <x:v>holdout</x:v>
      </x:c>
      <x:c r="C544" s="5" t="str">
        <x:v>D3_EXTRACT_ONLY</x:v>
      </x:c>
      <x:c r="D544" s="5" t="str">
        <x:v>process_order_correct_rate</x:v>
      </x:c>
      <x:c r="E544" s="5" t="n">
        <x:v>8</x:v>
      </x:c>
      <x:c r="F544" s="5" t="n">
        <x:v>12</x:v>
      </x:c>
      <x:c r="G544" s="10" t="n">
        <x:f>IF(COUNTBLANK(E544:F544)&gt;0,"N/A",IF(F544=0,"N/A",E544/F544))</x:f>
        <x:v>0.6666666666666666</x:v>
      </x:c>
      <x:c r="H544" s="5" t="str">
        <x:v>Silver</x:v>
      </x:c>
      <x:c r="I544" s="5" t="n">
        <x:v>39</x:v>
      </x:c>
      <x:c r="J544" s="5" t="n">
        <x:v>27</x:v>
      </x:c>
      <x:c r="K544" s="5" t="str">
        <x:v>rate</x:v>
      </x:c>
      <x:c r="L544" s="5" t="str">
        <x:v>Correct / {Correct,Partially Correct,Incorrect}; insufficient and uncertain excluded; same-model Silver</x:v>
      </x:c>
    </x:row>
    <x:row r="545" ht="20" hidden="0" customHeight="1">
      <x:c r="A545" s="5" t="str">
        <x:v>paired_ablation</x:v>
      </x:c>
      <x:c r="B545" s="5" t="str">
        <x:v>holdout</x:v>
      </x:c>
      <x:c r="C545" s="5" t="str">
        <x:v>D3_EXTRACT_ONLY</x:v>
      </x:c>
      <x:c r="D545" s="5" t="str">
        <x:v>process_order_partially_correct_rate</x:v>
      </x:c>
      <x:c r="E545" s="5" t="n">
        <x:v>4</x:v>
      </x:c>
      <x:c r="F545" s="5" t="n">
        <x:v>12</x:v>
      </x:c>
      <x:c r="G545" s="10" t="n">
        <x:f>IF(COUNTBLANK(E545:F545)&gt;0,"N/A",IF(F545=0,"N/A",E545/F545))</x:f>
        <x:v>0.3333333333333333</x:v>
      </x:c>
      <x:c r="H545" s="5" t="str">
        <x:v>Silver</x:v>
      </x:c>
      <x:c r="I545" s="5" t="n">
        <x:v>39</x:v>
      </x:c>
      <x:c r="J545" s="5" t="n">
        <x:v>27</x:v>
      </x:c>
      <x:c r="K545" s="5" t="str">
        <x:v>rate</x:v>
      </x:c>
      <x:c r="L545" s="5" t="str"/>
    </x:row>
    <x:row r="546" ht="20" hidden="0" customHeight="1">
      <x:c r="A546" s="5" t="str">
        <x:v>paired_ablation</x:v>
      </x:c>
      <x:c r="B546" s="5" t="str">
        <x:v>holdout</x:v>
      </x:c>
      <x:c r="C546" s="5" t="str">
        <x:v>D3_EXTRACT_ONLY</x:v>
      </x:c>
      <x:c r="D546" s="5" t="str">
        <x:v>parameters_correct_rate</x:v>
      </x:c>
      <x:c r="E546" s="5" t="n">
        <x:v>5</x:v>
      </x:c>
      <x:c r="F546" s="5" t="n">
        <x:v>9</x:v>
      </x:c>
      <x:c r="G546" s="10" t="n">
        <x:f>IF(COUNTBLANK(E546:F546)&gt;0,"N/A",IF(F546=0,"N/A",E546/F546))</x:f>
        <x:v>0.5555555555555556</x:v>
      </x:c>
      <x:c r="H546" s="5" t="str">
        <x:v>Silver</x:v>
      </x:c>
      <x:c r="I546" s="5" t="n">
        <x:v>39</x:v>
      </x:c>
      <x:c r="J546" s="5" t="n">
        <x:v>30</x:v>
      </x:c>
      <x:c r="K546" s="5" t="str">
        <x:v>rate</x:v>
      </x:c>
      <x:c r="L546" s="5" t="str">
        <x:v>Correct / {Correct,Partially Correct,Incorrect}; insufficient and uncertain excluded; same-model Silver</x:v>
      </x:c>
    </x:row>
    <x:row r="547" ht="20" hidden="0" customHeight="1">
      <x:c r="A547" s="5" t="str">
        <x:v>paired_ablation</x:v>
      </x:c>
      <x:c r="B547" s="5" t="str">
        <x:v>holdout</x:v>
      </x:c>
      <x:c r="C547" s="5" t="str">
        <x:v>D3_EXTRACT_ONLY</x:v>
      </x:c>
      <x:c r="D547" s="5" t="str">
        <x:v>parameters_partially_correct_rate</x:v>
      </x:c>
      <x:c r="E547" s="5" t="n">
        <x:v>4</x:v>
      </x:c>
      <x:c r="F547" s="5" t="n">
        <x:v>9</x:v>
      </x:c>
      <x:c r="G547" s="10" t="n">
        <x:f>IF(COUNTBLANK(E547:F547)&gt;0,"N/A",IF(F547=0,"N/A",E547/F547))</x:f>
        <x:v>0.4444444444444444</x:v>
      </x:c>
      <x:c r="H547" s="5" t="str">
        <x:v>Silver</x:v>
      </x:c>
      <x:c r="I547" s="5" t="n">
        <x:v>39</x:v>
      </x:c>
      <x:c r="J547" s="5" t="n">
        <x:v>30</x:v>
      </x:c>
      <x:c r="K547" s="5" t="str">
        <x:v>rate</x:v>
      </x:c>
      <x:c r="L547" s="5" t="str"/>
    </x:row>
    <x:row r="548" ht="20" hidden="0" customHeight="1">
      <x:c r="A548" s="5" t="str">
        <x:v>paired_ablation</x:v>
      </x:c>
      <x:c r="B548" s="5" t="str">
        <x:v>holdout</x:v>
      </x:c>
      <x:c r="C548" s="5" t="str">
        <x:v>D3_EXTRACT_ONLY</x:v>
      </x:c>
      <x:c r="D548" s="5" t="str">
        <x:v>effects_correct_rate</x:v>
      </x:c>
      <x:c r="E548" s="5" t="n">
        <x:v>17</x:v>
      </x:c>
      <x:c r="F548" s="5" t="n">
        <x:v>17</x:v>
      </x:c>
      <x:c r="G548" s="10" t="n">
        <x:f>IF(COUNTBLANK(E548:F548)&gt;0,"N/A",IF(F548=0,"N/A",E548/F548))</x:f>
        <x:v>1</x:v>
      </x:c>
      <x:c r="H548" s="5" t="str">
        <x:v>Silver</x:v>
      </x:c>
      <x:c r="I548" s="5" t="n">
        <x:v>39</x:v>
      </x:c>
      <x:c r="J548" s="5" t="n">
        <x:v>22</x:v>
      </x:c>
      <x:c r="K548" s="5" t="str">
        <x:v>rate</x:v>
      </x:c>
      <x:c r="L548" s="5" t="str">
        <x:v>Correct / {Correct,Partially Correct,Incorrect}; insufficient and uncertain excluded; same-model Silver</x:v>
      </x:c>
    </x:row>
    <x:row r="549" ht="20" hidden="0" customHeight="1">
      <x:c r="A549" s="5" t="str">
        <x:v>paired_ablation</x:v>
      </x:c>
      <x:c r="B549" s="5" t="str">
        <x:v>holdout</x:v>
      </x:c>
      <x:c r="C549" s="5" t="str">
        <x:v>D3_EXTRACT_ONLY</x:v>
      </x:c>
      <x:c r="D549" s="5" t="str">
        <x:v>effects_partially_correct_rate</x:v>
      </x:c>
      <x:c r="E549" s="5" t="n">
        <x:v>0</x:v>
      </x:c>
      <x:c r="F549" s="5" t="n">
        <x:v>17</x:v>
      </x:c>
      <x:c r="G549" s="10" t="n">
        <x:f>IF(COUNTBLANK(E549:F549)&gt;0,"N/A",IF(F549=0,"N/A",E549/F549))</x:f>
        <x:v>0</x:v>
      </x:c>
      <x:c r="H549" s="5" t="str">
        <x:v>Silver</x:v>
      </x:c>
      <x:c r="I549" s="5" t="n">
        <x:v>39</x:v>
      </x:c>
      <x:c r="J549" s="5" t="n">
        <x:v>22</x:v>
      </x:c>
      <x:c r="K549" s="5" t="str">
        <x:v>rate</x:v>
      </x:c>
      <x:c r="L549" s="5" t="str"/>
    </x:row>
    <x:row r="550" ht="20" hidden="0" customHeight="1">
      <x:c r="A550" s="5" t="str">
        <x:v>paired_ablation</x:v>
      </x:c>
      <x:c r="B550" s="5" t="str">
        <x:v>holdout</x:v>
      </x:c>
      <x:c r="C550" s="5" t="str">
        <x:v>D3_EXTRACT_ONLY</x:v>
      </x:c>
      <x:c r="D550" s="5" t="str">
        <x:v>multiple_contributions_correct_rate</x:v>
      </x:c>
      <x:c r="E550" s="5" t="n">
        <x:v>24</x:v>
      </x:c>
      <x:c r="F550" s="5" t="n">
        <x:v>28</x:v>
      </x:c>
      <x:c r="G550" s="10" t="n">
        <x:f>IF(COUNTBLANK(E550:F550)&gt;0,"N/A",IF(F550=0,"N/A",E550/F550))</x:f>
        <x:v>0.8571428571428571</x:v>
      </x:c>
      <x:c r="H550" s="5" t="str">
        <x:v>Silver</x:v>
      </x:c>
      <x:c r="I550" s="5" t="n">
        <x:v>39</x:v>
      </x:c>
      <x:c r="J550" s="5" t="n">
        <x:v>11</x:v>
      </x:c>
      <x:c r="K550" s="5" t="str">
        <x:v>rate</x:v>
      </x:c>
      <x:c r="L550" s="5" t="str">
        <x:v>Correct / {Correct,Partially Correct,Incorrect}; insufficient and uncertain excluded; same-model Silver</x:v>
      </x:c>
    </x:row>
    <x:row r="551" ht="20" hidden="0" customHeight="1">
      <x:c r="A551" s="5" t="str">
        <x:v>paired_ablation</x:v>
      </x:c>
      <x:c r="B551" s="5" t="str">
        <x:v>holdout</x:v>
      </x:c>
      <x:c r="C551" s="5" t="str">
        <x:v>D3_EXTRACT_ONLY</x:v>
      </x:c>
      <x:c r="D551" s="5" t="str">
        <x:v>multiple_contributions_partially_correct_rate</x:v>
      </x:c>
      <x:c r="E551" s="5" t="n">
        <x:v>3</x:v>
      </x:c>
      <x:c r="F551" s="5" t="n">
        <x:v>28</x:v>
      </x:c>
      <x:c r="G551" s="10" t="n">
        <x:f>IF(COUNTBLANK(E551:F551)&gt;0,"N/A",IF(F551=0,"N/A",E551/F551))</x:f>
        <x:v>0.10714285714285714</x:v>
      </x:c>
      <x:c r="H551" s="5" t="str">
        <x:v>Silver</x:v>
      </x:c>
      <x:c r="I551" s="5" t="n">
        <x:v>39</x:v>
      </x:c>
      <x:c r="J551" s="5" t="n">
        <x:v>11</x:v>
      </x:c>
      <x:c r="K551" s="5" t="str">
        <x:v>rate</x:v>
      </x:c>
      <x:c r="L551" s="5" t="str"/>
    </x:row>
    <x:row r="552" ht="20" hidden="0" customHeight="1">
      <x:c r="A552" s="5" t="str">
        <x:v>paired_ablation</x:v>
      </x:c>
      <x:c r="B552" s="5" t="str">
        <x:v>holdout</x:v>
      </x:c>
      <x:c r="C552" s="5" t="str">
        <x:v>D3_EXTRACT_ONLY</x:v>
      </x:c>
      <x:c r="D552" s="5" t="str">
        <x:v>hallucination_correct_rate</x:v>
      </x:c>
      <x:c r="E552" s="5" t="n">
        <x:v>39</x:v>
      </x:c>
      <x:c r="F552" s="5" t="n">
        <x:v>39</x:v>
      </x:c>
      <x:c r="G552" s="10" t="n">
        <x:f>IF(COUNTBLANK(E552:F552)&gt;0,"N/A",IF(F552=0,"N/A",E552/F552))</x:f>
        <x:v>1</x:v>
      </x:c>
      <x:c r="H552" s="5" t="str">
        <x:v>Silver</x:v>
      </x:c>
      <x:c r="I552" s="5" t="n">
        <x:v>39</x:v>
      </x:c>
      <x:c r="J552" s="5" t="n">
        <x:v>0</x:v>
      </x:c>
      <x:c r="K552" s="5" t="str">
        <x:v>rate</x:v>
      </x:c>
      <x:c r="L552" s="5" t="str">
        <x:v>Correct / {Correct,Partially Correct,Incorrect}; insufficient and uncertain excluded; same-model Silver</x:v>
      </x:c>
    </x:row>
    <x:row r="553" ht="20" hidden="0" customHeight="1">
      <x:c r="A553" s="5" t="str">
        <x:v>paired_ablation</x:v>
      </x:c>
      <x:c r="B553" s="5" t="str">
        <x:v>holdout</x:v>
      </x:c>
      <x:c r="C553" s="5" t="str">
        <x:v>D3_EXTRACT_ONLY</x:v>
      </x:c>
      <x:c r="D553" s="5" t="str">
        <x:v>hallucination_partially_correct_rate</x:v>
      </x:c>
      <x:c r="E553" s="5" t="n">
        <x:v>0</x:v>
      </x:c>
      <x:c r="F553" s="5" t="n">
        <x:v>39</x:v>
      </x:c>
      <x:c r="G553" s="10" t="n">
        <x:f>IF(COUNTBLANK(E553:F553)&gt;0,"N/A",IF(F553=0,"N/A",E553/F553))</x:f>
        <x:v>0</x:v>
      </x:c>
      <x:c r="H553" s="5" t="str">
        <x:v>Silver</x:v>
      </x:c>
      <x:c r="I553" s="5" t="n">
        <x:v>39</x:v>
      </x:c>
      <x:c r="J553" s="5" t="n">
        <x:v>0</x:v>
      </x:c>
      <x:c r="K553" s="5" t="str">
        <x:v>rate</x:v>
      </x:c>
      <x:c r="L553" s="5" t="str"/>
    </x:row>
    <x:row r="554" ht="31" hidden="0" customHeight="1">
      <x:c r="A554" s="5" t="str">
        <x:v>paired_ablation</x:v>
      </x:c>
      <x:c r="B554" s="5" t="str">
        <x:v>holdout</x:v>
      </x:c>
      <x:c r="C554" s="5" t="str">
        <x:v>D3_EXTRACT_ONLY</x:v>
      </x:c>
      <x:c r="D554" s="5" t="str">
        <x:v>contribution_coverage</x:v>
      </x:c>
      <x:c r="E554" s="5" t="n">
        <x:v>26</x:v>
      </x:c>
      <x:c r="F554" s="5" t="n">
        <x:v>36</x:v>
      </x:c>
      <x:c r="G554" s="10" t="n">
        <x:f>IF(COUNTBLANK(E554:F554)&gt;0,"N/A",IF(F554=0,"N/A",E554/F554))</x:f>
        <x:v>0.7222222222222222</x:v>
      </x:c>
      <x:c r="H554" s="5" t="str">
        <x:v>Silver</x:v>
      </x:c>
      <x:c r="I554" s="5" t="n">
        <x:v>39</x:v>
      </x:c>
      <x:c r="J554" s="5" t="n">
        <x:v>9</x:v>
      </x:c>
      <x:c r="K554" s="5" t="str">
        <x:v>rate</x:v>
      </x:c>
      <x:c r="L554" s="5" t="str">
        <x:v>Source-reference denominators required consistent across matched configs; disagreements/zero applicability excluded</x:v>
      </x:c>
    </x:row>
    <x:row r="555" ht="31" hidden="0" customHeight="1">
      <x:c r="A555" s="5" t="str">
        <x:v>paired_ablation</x:v>
      </x:c>
      <x:c r="B555" s="5" t="str">
        <x:v>holdout</x:v>
      </x:c>
      <x:c r="C555" s="5" t="str">
        <x:v>D3_EXTRACT_ONLY</x:v>
      </x:c>
      <x:c r="D555" s="5" t="str">
        <x:v>material_retention</x:v>
      </x:c>
      <x:c r="E555" s="5" t="n">
        <x:v>21</x:v>
      </x:c>
      <x:c r="F555" s="5" t="n">
        <x:v>27</x:v>
      </x:c>
      <x:c r="G555" s="10" t="n">
        <x:f>IF(COUNTBLANK(E555:F555)&gt;0,"N/A",IF(F555=0,"N/A",E555/F555))</x:f>
        <x:v>0.7777777777777778</x:v>
      </x:c>
      <x:c r="H555" s="5" t="str">
        <x:v>Silver</x:v>
      </x:c>
      <x:c r="I555" s="5" t="n">
        <x:v>39</x:v>
      </x:c>
      <x:c r="J555" s="5" t="n">
        <x:v>27</x:v>
      </x:c>
      <x:c r="K555" s="5" t="str">
        <x:v>rate</x:v>
      </x:c>
      <x:c r="L555" s="5" t="str">
        <x:v>Source-reference denominators required consistent across matched configs; disagreements/zero applicability excluded</x:v>
      </x:c>
    </x:row>
    <x:row r="556" ht="31" hidden="0" customHeight="1">
      <x:c r="A556" s="5" t="str">
        <x:v>paired_ablation</x:v>
      </x:c>
      <x:c r="B556" s="5" t="str">
        <x:v>holdout</x:v>
      </x:c>
      <x:c r="C556" s="5" t="str">
        <x:v>D3_EXTRACT_ONLY</x:v>
      </x:c>
      <x:c r="D556" s="5" t="str">
        <x:v>process_retention</x:v>
      </x:c>
      <x:c r="E556" s="5" t="n">
        <x:v>44</x:v>
      </x:c>
      <x:c r="F556" s="5" t="n">
        <x:v>49</x:v>
      </x:c>
      <x:c r="G556" s="10" t="n">
        <x:f>IF(COUNTBLANK(E556:F556)&gt;0,"N/A",IF(F556=0,"N/A",E556/F556))</x:f>
        <x:v>0.8979591836734694</x:v>
      </x:c>
      <x:c r="H556" s="5" t="str">
        <x:v>Silver</x:v>
      </x:c>
      <x:c r="I556" s="5" t="n">
        <x:v>39</x:v>
      </x:c>
      <x:c r="J556" s="5" t="n">
        <x:v>25</x:v>
      </x:c>
      <x:c r="K556" s="5" t="str">
        <x:v>rate</x:v>
      </x:c>
      <x:c r="L556" s="5" t="str">
        <x:v>Source-reference denominators required consistent across matched configs; disagreements/zero applicability excluded</x:v>
      </x:c>
    </x:row>
    <x:row r="557" ht="20" hidden="0" customHeight="1">
      <x:c r="A557" s="5" t="str">
        <x:v>paired_ablation</x:v>
      </x:c>
      <x:c r="B557" s="5" t="str">
        <x:v>holdout</x:v>
      </x:c>
      <x:c r="C557" s="5" t="str">
        <x:v>D3_EXTRACT_ONLY</x:v>
      </x:c>
      <x:c r="D557" s="5" t="str">
        <x:v>multi_contribution_omission_rate</x:v>
      </x:c>
      <x:c r="E557" s="5" t="n">
        <x:v>2</x:v>
      </x:c>
      <x:c r="F557" s="5" t="n">
        <x:v>4</x:v>
      </x:c>
      <x:c r="G557" s="10" t="n">
        <x:f>IF(COUNTBLANK(E557:F557)&gt;0,"N/A",IF(F557=0,"N/A",E557/F557))</x:f>
        <x:v>0.5</x:v>
      </x:c>
      <x:c r="H557" s="5" t="str">
        <x:v>Silver</x:v>
      </x:c>
      <x:c r="I557" s="5" t="n">
        <x:v>39</x:v>
      </x:c>
      <x:c r="J557" s="5" t="n">
        <x:v>35</x:v>
      </x:c>
      <x:c r="K557" s="5" t="str">
        <x:v>rate</x:v>
      </x:c>
      <x:c r="L557" s="5" t="str"/>
    </x:row>
    <x:row r="558" ht="20" hidden="0" customHeight="1">
      <x:c r="A558" s="5" t="str">
        <x:v>paired_ablation</x:v>
      </x:c>
      <x:c r="B558" s="5" t="str">
        <x:v>holdout</x:v>
      </x:c>
      <x:c r="C558" s="5" t="str">
        <x:v>D3_EXTRACT_ONLY</x:v>
      </x:c>
      <x:c r="D558" s="5" t="str">
        <x:v>full_conclusion_support_rate</x:v>
      </x:c>
      <x:c r="E558" s="5" t="n">
        <x:v>22</x:v>
      </x:c>
      <x:c r="F558" s="5" t="n">
        <x:v>24</x:v>
      </x:c>
      <x:c r="G558" s="10" t="n">
        <x:f>IF(COUNTBLANK(E558:F558)&gt;0,"N/A",IF(F558=0,"N/A",E558/F558))</x:f>
        <x:v>0.9166666666666666</x:v>
      </x:c>
      <x:c r="H558" s="5" t="str">
        <x:v>Silver</x:v>
      </x:c>
      <x:c r="I558" s="5" t="n">
        <x:v>39</x:v>
      </x:c>
      <x:c r="J558" s="5" t="n">
        <x:v>15</x:v>
      </x:c>
      <x:c r="K558" s="5" t="str">
        <x:v>rate</x:v>
      </x:c>
      <x:c r="L558" s="5" t="str"/>
    </x:row>
    <x:row r="559" ht="20" hidden="0" customHeight="1">
      <x:c r="A559" s="5" t="str">
        <x:v>paired_ablation</x:v>
      </x:c>
      <x:c r="B559" s="5" t="str">
        <x:v>holdout</x:v>
      </x:c>
      <x:c r="C559" s="5" t="str">
        <x:v>D3_EXTRACT_ONLY</x:v>
      </x:c>
      <x:c r="D559" s="5" t="str">
        <x:v>mean_contributions_per_family</x:v>
      </x:c>
      <x:c r="E559" s="5" t="n">
        <x:v>28</x:v>
      </x:c>
      <x:c r="F559" s="5" t="n">
        <x:v>39</x:v>
      </x:c>
      <x:c r="G559" s="11" t="n">
        <x:f>IF(COUNTBLANK(E559:F559)&gt;0,"N/A",IF(F559=0,"N/A",E559/F559))</x:f>
        <x:v>0.717948717948718</x:v>
      </x:c>
      <x:c r="H559" s="5" t="str">
        <x:v>Silver</x:v>
      </x:c>
      <x:c r="I559" s="5" t="n">
        <x:v>39</x:v>
      </x:c>
      <x:c r="J559" s="5" t="n">
        <x:v>0</x:v>
      </x:c>
      <x:c r="K559" s="5" t="str">
        <x:v>contributions/family</x:v>
      </x:c>
      <x:c r="L559" s="5" t="str"/>
    </x:row>
    <x:row r="560" ht="20" hidden="0" customHeight="1">
      <x:c r="A560" s="5" t="str">
        <x:v>paired_ablation</x:v>
      </x:c>
      <x:c r="B560" s="5" t="str">
        <x:v>holdout</x:v>
      </x:c>
      <x:c r="C560" s="5" t="str">
        <x:v>D3_EXTRACT_ONLY</x:v>
      </x:c>
      <x:c r="D560" s="5" t="str">
        <x:v>oversplit_contribution_rate</x:v>
      </x:c>
      <x:c r="E560" s="5" t="n">
        <x:v>0</x:v>
      </x:c>
      <x:c r="F560" s="5" t="n">
        <x:v>28</x:v>
      </x:c>
      <x:c r="G560" s="10" t="n">
        <x:f>IF(COUNTBLANK(E560:F560)&gt;0,"N/A",IF(F560=0,"N/A",E560/F560))</x:f>
        <x:v>0</x:v>
      </x:c>
      <x:c r="H560" s="5" t="str">
        <x:v>Silver</x:v>
      </x:c>
      <x:c r="I560" s="5" t="n">
        <x:v>39</x:v>
      </x:c>
      <x:c r="J560" s="5" t="n">
        <x:v>0</x:v>
      </x:c>
      <x:c r="K560" s="5" t="str">
        <x:v>rate</x:v>
      </x:c>
      <x:c r="L560" s="5" t="str">
        <x:v>Auditor oversplit units / actual explicit output units; not a human error rate</x:v>
      </x:c>
    </x:row>
    <x:row r="561" ht="20" hidden="0" customHeight="1">
      <x:c r="A561" s="5" t="str">
        <x:v>paired_ablation</x:v>
      </x:c>
      <x:c r="B561" s="5" t="str">
        <x:v>holdout</x:v>
      </x:c>
      <x:c r="C561" s="5" t="str">
        <x:v>D3_EXTRACT_ONLY</x:v>
      </x:c>
      <x:c r="D561" s="5" t="str">
        <x:v>hallucinated_contribution_rate</x:v>
      </x:c>
      <x:c r="E561" s="5" t="n">
        <x:v>0</x:v>
      </x:c>
      <x:c r="F561" s="5" t="n">
        <x:v>28</x:v>
      </x:c>
      <x:c r="G561" s="10" t="n">
        <x:f>IF(COUNTBLANK(E561:F561)&gt;0,"N/A",IF(F561=0,"N/A",E561/F561))</x:f>
        <x:v>0</x:v>
      </x:c>
      <x:c r="H561" s="5" t="str">
        <x:v>Silver</x:v>
      </x:c>
      <x:c r="I561" s="5" t="n">
        <x:v>39</x:v>
      </x:c>
      <x:c r="J561" s="5" t="n">
        <x:v>0</x:v>
      </x:c>
      <x:c r="K561" s="5" t="str">
        <x:v>rate</x:v>
      </x:c>
      <x:c r="L561" s="5" t="str"/>
    </x:row>
    <x:row r="562" ht="20" hidden="0" customHeight="1">
      <x:c r="A562" s="5" t="str">
        <x:v>paired_ablation</x:v>
      </x:c>
      <x:c r="B562" s="5" t="str">
        <x:v>holdout</x:v>
      </x:c>
      <x:c r="C562" s="5" t="str">
        <x:v>D3_EXTRACT_ONLY</x:v>
      </x:c>
      <x:c r="D562" s="5" t="str">
        <x:v>technical_mechanism_gold_accuracy</x:v>
      </x:c>
      <x:c r="E562" s="5"/>
      <x:c r="F562" s="5"/>
      <x:c r="G562" s="10" t="str">
        <x:f>IF(COUNTBLANK(E562:F562)&gt;0,"N/A",IF(F562=0,"N/A",E562/F562))</x:f>
        <x:v>N/A</x:v>
      </x:c>
      <x:c r="H562" s="5" t="str">
        <x:v>Gold</x:v>
      </x:c>
      <x:c r="I562" s="5" t="n">
        <x:v>0</x:v>
      </x:c>
      <x:c r="J562" s="5" t="n">
        <x:v>0</x:v>
      </x:c>
      <x:c r="K562" s="5" t="str">
        <x:v>rate</x:v>
      </x:c>
      <x:c r="L562" s="5" t="str">
        <x:v>N/A: zero independent human Gold labels; AI must not be promoted to human truth</x:v>
      </x:c>
    </x:row>
    <x:row r="563" ht="20" hidden="0" customHeight="1">
      <x:c r="A563" s="5" t="str">
        <x:v>paired_ablation</x:v>
      </x:c>
      <x:c r="B563" s="5" t="str">
        <x:v>holdout</x:v>
      </x:c>
      <x:c r="C563" s="5" t="str">
        <x:v>D3_EXTRACT_ONLY</x:v>
      </x:c>
      <x:c r="D563" s="5" t="str">
        <x:v>materials_gold_accuracy</x:v>
      </x:c>
      <x:c r="E563" s="5"/>
      <x:c r="F563" s="5"/>
      <x:c r="G563" s="10" t="str">
        <x:f>IF(COUNTBLANK(E563:F563)&gt;0,"N/A",IF(F563=0,"N/A",E563/F563))</x:f>
        <x:v>N/A</x:v>
      </x:c>
      <x:c r="H563" s="5" t="str">
        <x:v>Gold</x:v>
      </x:c>
      <x:c r="I563" s="5" t="n">
        <x:v>0</x:v>
      </x:c>
      <x:c r="J563" s="5" t="n">
        <x:v>0</x:v>
      </x:c>
      <x:c r="K563" s="5" t="str">
        <x:v>rate</x:v>
      </x:c>
      <x:c r="L563" s="5" t="str">
        <x:v>N/A: zero independent human Gold labels; AI must not be promoted to human truth</x:v>
      </x:c>
    </x:row>
    <x:row r="564" ht="20" hidden="0" customHeight="1">
      <x:c r="A564" s="5" t="str">
        <x:v>paired_ablation</x:v>
      </x:c>
      <x:c r="B564" s="5" t="str">
        <x:v>holdout</x:v>
      </x:c>
      <x:c r="C564" s="5" t="str">
        <x:v>D3_EXTRACT_ONLY</x:v>
      </x:c>
      <x:c r="D564" s="5" t="str">
        <x:v>process_method_gold_accuracy</x:v>
      </x:c>
      <x:c r="E564" s="5"/>
      <x:c r="F564" s="5"/>
      <x:c r="G564" s="10" t="str">
        <x:f>IF(COUNTBLANK(E564:F564)&gt;0,"N/A",IF(F564=0,"N/A",E564/F564))</x:f>
        <x:v>N/A</x:v>
      </x:c>
      <x:c r="H564" s="5" t="str">
        <x:v>Gold</x:v>
      </x:c>
      <x:c r="I564" s="5" t="n">
        <x:v>0</x:v>
      </x:c>
      <x:c r="J564" s="5" t="n">
        <x:v>0</x:v>
      </x:c>
      <x:c r="K564" s="5" t="str">
        <x:v>rate</x:v>
      </x:c>
      <x:c r="L564" s="5" t="str">
        <x:v>N/A: zero independent human Gold labels; AI must not be promoted to human truth</x:v>
      </x:c>
    </x:row>
    <x:row r="565" ht="20" hidden="0" customHeight="1">
      <x:c r="A565" s="5" t="str">
        <x:v>paired_ablation</x:v>
      </x:c>
      <x:c r="B565" s="5" t="str">
        <x:v>holdout</x:v>
      </x:c>
      <x:c r="C565" s="5" t="str">
        <x:v>D3_EXTRACT_ONLY</x:v>
      </x:c>
      <x:c r="D565" s="5" t="str">
        <x:v>parameters_gold_accuracy</x:v>
      </x:c>
      <x:c r="E565" s="5"/>
      <x:c r="F565" s="5"/>
      <x:c r="G565" s="10" t="str">
        <x:f>IF(COUNTBLANK(E565:F565)&gt;0,"N/A",IF(F565=0,"N/A",E565/F565))</x:f>
        <x:v>N/A</x:v>
      </x:c>
      <x:c r="H565" s="5" t="str">
        <x:v>Gold</x:v>
      </x:c>
      <x:c r="I565" s="5" t="n">
        <x:v>0</x:v>
      </x:c>
      <x:c r="J565" s="5" t="n">
        <x:v>0</x:v>
      </x:c>
      <x:c r="K565" s="5" t="str">
        <x:v>rate</x:v>
      </x:c>
      <x:c r="L565" s="5" t="str">
        <x:v>N/A: zero independent human Gold labels; AI must not be promoted to human truth</x:v>
      </x:c>
    </x:row>
    <x:row r="566" ht="20" hidden="0" customHeight="1">
      <x:c r="A566" s="5" t="str">
        <x:v>paired_ablation</x:v>
      </x:c>
      <x:c r="B566" s="5" t="str">
        <x:v>holdout</x:v>
      </x:c>
      <x:c r="C566" s="5" t="str">
        <x:v>D3_EXTRACT_ONLY</x:v>
      </x:c>
      <x:c r="D566" s="5" t="str">
        <x:v>multiple_contributions_gold_accuracy</x:v>
      </x:c>
      <x:c r="E566" s="5"/>
      <x:c r="F566" s="5"/>
      <x:c r="G566" s="10" t="str">
        <x:f>IF(COUNTBLANK(E566:F566)&gt;0,"N/A",IF(F566=0,"N/A",E566/F566))</x:f>
        <x:v>N/A</x:v>
      </x:c>
      <x:c r="H566" s="5" t="str">
        <x:v>Gold</x:v>
      </x:c>
      <x:c r="I566" s="5" t="n">
        <x:v>0</x:v>
      </x:c>
      <x:c r="J566" s="5" t="n">
        <x:v>0</x:v>
      </x:c>
      <x:c r="K566" s="5" t="str">
        <x:v>rate</x:v>
      </x:c>
      <x:c r="L566" s="5" t="str">
        <x:v>N/A: zero independent human Gold labels; AI must not be promoted to human truth</x:v>
      </x:c>
    </x:row>
    <x:row r="567" ht="20" hidden="0" customHeight="1">
      <x:c r="A567" s="5" t="str">
        <x:v>paired_ablation</x:v>
      </x:c>
      <x:c r="B567" s="5" t="str">
        <x:v>holdout</x:v>
      </x:c>
      <x:c r="C567" s="5" t="str">
        <x:v>D3_FIDELITY</x:v>
      </x:c>
      <x:c r="D567" s="5" t="str">
        <x:v>technical_object_correct_rate</x:v>
      </x:c>
      <x:c r="E567" s="5" t="n">
        <x:v>27</x:v>
      </x:c>
      <x:c r="F567" s="5" t="n">
        <x:v>27</x:v>
      </x:c>
      <x:c r="G567" s="10" t="n">
        <x:f>IF(COUNTBLANK(E567:F567)&gt;0,"N/A",IF(F567=0,"N/A",E567/F567))</x:f>
        <x:v>1</x:v>
      </x:c>
      <x:c r="H567" s="5" t="str">
        <x:v>Silver</x:v>
      </x:c>
      <x:c r="I567" s="5" t="n">
        <x:v>39</x:v>
      </x:c>
      <x:c r="J567" s="5" t="n">
        <x:v>12</x:v>
      </x:c>
      <x:c r="K567" s="5" t="str">
        <x:v>rate</x:v>
      </x:c>
      <x:c r="L567" s="5" t="str">
        <x:v>Correct / {Correct,Partially Correct,Incorrect}; insufficient and uncertain excluded; same-model Silver</x:v>
      </x:c>
    </x:row>
    <x:row r="568" ht="20" hidden="0" customHeight="1">
      <x:c r="A568" s="5" t="str">
        <x:v>paired_ablation</x:v>
      </x:c>
      <x:c r="B568" s="5" t="str">
        <x:v>holdout</x:v>
      </x:c>
      <x:c r="C568" s="5" t="str">
        <x:v>D3_FIDELITY</x:v>
      </x:c>
      <x:c r="D568" s="5" t="str">
        <x:v>technical_object_partially_correct_rate</x:v>
      </x:c>
      <x:c r="E568" s="5" t="n">
        <x:v>0</x:v>
      </x:c>
      <x:c r="F568" s="5" t="n">
        <x:v>27</x:v>
      </x:c>
      <x:c r="G568" s="10" t="n">
        <x:f>IF(COUNTBLANK(E568:F568)&gt;0,"N/A",IF(F568=0,"N/A",E568/F568))</x:f>
        <x:v>0</x:v>
      </x:c>
      <x:c r="H568" s="5" t="str">
        <x:v>Silver</x:v>
      </x:c>
      <x:c r="I568" s="5" t="n">
        <x:v>39</x:v>
      </x:c>
      <x:c r="J568" s="5" t="n">
        <x:v>12</x:v>
      </x:c>
      <x:c r="K568" s="5" t="str">
        <x:v>rate</x:v>
      </x:c>
      <x:c r="L568" s="5" t="str"/>
    </x:row>
    <x:row r="569" ht="20" hidden="0" customHeight="1">
      <x:c r="A569" s="5" t="str">
        <x:v>paired_ablation</x:v>
      </x:c>
      <x:c r="B569" s="5" t="str">
        <x:v>holdout</x:v>
      </x:c>
      <x:c r="C569" s="5" t="str">
        <x:v>D3_FIDELITY</x:v>
      </x:c>
      <x:c r="D569" s="5" t="str">
        <x:v>technical_problem_correct_rate</x:v>
      </x:c>
      <x:c r="E569" s="5" t="n">
        <x:v>17</x:v>
      </x:c>
      <x:c r="F569" s="5" t="n">
        <x:v>18</x:v>
      </x:c>
      <x:c r="G569" s="10" t="n">
        <x:f>IF(COUNTBLANK(E569:F569)&gt;0,"N/A",IF(F569=0,"N/A",E569/F569))</x:f>
        <x:v>0.9444444444444444</x:v>
      </x:c>
      <x:c r="H569" s="5" t="str">
        <x:v>Silver</x:v>
      </x:c>
      <x:c r="I569" s="5" t="n">
        <x:v>39</x:v>
      </x:c>
      <x:c r="J569" s="5" t="n">
        <x:v>21</x:v>
      </x:c>
      <x:c r="K569" s="5" t="str">
        <x:v>rate</x:v>
      </x:c>
      <x:c r="L569" s="5" t="str">
        <x:v>Correct / {Correct,Partially Correct,Incorrect}; insufficient and uncertain excluded; same-model Silver</x:v>
      </x:c>
    </x:row>
    <x:row r="570" ht="20" hidden="0" customHeight="1">
      <x:c r="A570" s="5" t="str">
        <x:v>paired_ablation</x:v>
      </x:c>
      <x:c r="B570" s="5" t="str">
        <x:v>holdout</x:v>
      </x:c>
      <x:c r="C570" s="5" t="str">
        <x:v>D3_FIDELITY</x:v>
      </x:c>
      <x:c r="D570" s="5" t="str">
        <x:v>technical_problem_partially_correct_rate</x:v>
      </x:c>
      <x:c r="E570" s="5" t="n">
        <x:v>1</x:v>
      </x:c>
      <x:c r="F570" s="5" t="n">
        <x:v>18</x:v>
      </x:c>
      <x:c r="G570" s="10" t="n">
        <x:f>IF(COUNTBLANK(E570:F570)&gt;0,"N/A",IF(F570=0,"N/A",E570/F570))</x:f>
        <x:v>0.05555555555555555</x:v>
      </x:c>
      <x:c r="H570" s="5" t="str">
        <x:v>Silver</x:v>
      </x:c>
      <x:c r="I570" s="5" t="n">
        <x:v>39</x:v>
      </x:c>
      <x:c r="J570" s="5" t="n">
        <x:v>21</x:v>
      </x:c>
      <x:c r="K570" s="5" t="str">
        <x:v>rate</x:v>
      </x:c>
      <x:c r="L570" s="5" t="str"/>
    </x:row>
    <x:row r="571" ht="20" hidden="0" customHeight="1">
      <x:c r="A571" s="5" t="str">
        <x:v>paired_ablation</x:v>
      </x:c>
      <x:c r="B571" s="5" t="str">
        <x:v>holdout</x:v>
      </x:c>
      <x:c r="C571" s="5" t="str">
        <x:v>D3_FIDELITY</x:v>
      </x:c>
      <x:c r="D571" s="5" t="str">
        <x:v>technical_mechanism_correct_rate</x:v>
      </x:c>
      <x:c r="E571" s="5" t="n">
        <x:v>24</x:v>
      </x:c>
      <x:c r="F571" s="5" t="n">
        <x:v>24</x:v>
      </x:c>
      <x:c r="G571" s="10" t="n">
        <x:f>IF(COUNTBLANK(E571:F571)&gt;0,"N/A",IF(F571=0,"N/A",E571/F571))</x:f>
        <x:v>1</x:v>
      </x:c>
      <x:c r="H571" s="5" t="str">
        <x:v>Silver</x:v>
      </x:c>
      <x:c r="I571" s="5" t="n">
        <x:v>39</x:v>
      </x:c>
      <x:c r="J571" s="5" t="n">
        <x:v>15</x:v>
      </x:c>
      <x:c r="K571" s="5" t="str">
        <x:v>rate</x:v>
      </x:c>
      <x:c r="L571" s="5" t="str">
        <x:v>Correct / {Correct,Partially Correct,Incorrect}; insufficient and uncertain excluded; same-model Silver</x:v>
      </x:c>
    </x:row>
    <x:row r="572" ht="20" hidden="0" customHeight="1">
      <x:c r="A572" s="5" t="str">
        <x:v>paired_ablation</x:v>
      </x:c>
      <x:c r="B572" s="5" t="str">
        <x:v>holdout</x:v>
      </x:c>
      <x:c r="C572" s="5" t="str">
        <x:v>D3_FIDELITY</x:v>
      </x:c>
      <x:c r="D572" s="5" t="str">
        <x:v>technical_mechanism_partially_correct_rate</x:v>
      </x:c>
      <x:c r="E572" s="5" t="n">
        <x:v>0</x:v>
      </x:c>
      <x:c r="F572" s="5" t="n">
        <x:v>24</x:v>
      </x:c>
      <x:c r="G572" s="10" t="n">
        <x:f>IF(COUNTBLANK(E572:F572)&gt;0,"N/A",IF(F572=0,"N/A",E572/F572))</x:f>
        <x:v>0</x:v>
      </x:c>
      <x:c r="H572" s="5" t="str">
        <x:v>Silver</x:v>
      </x:c>
      <x:c r="I572" s="5" t="n">
        <x:v>39</x:v>
      </x:c>
      <x:c r="J572" s="5" t="n">
        <x:v>15</x:v>
      </x:c>
      <x:c r="K572" s="5" t="str">
        <x:v>rate</x:v>
      </x:c>
      <x:c r="L572" s="5" t="str"/>
    </x:row>
    <x:row r="573" ht="20" hidden="0" customHeight="1">
      <x:c r="A573" s="5" t="str">
        <x:v>paired_ablation</x:v>
      </x:c>
      <x:c r="B573" s="5" t="str">
        <x:v>holdout</x:v>
      </x:c>
      <x:c r="C573" s="5" t="str">
        <x:v>D3_FIDELITY</x:v>
      </x:c>
      <x:c r="D573" s="5" t="str">
        <x:v>materials_correct_rate</x:v>
      </x:c>
      <x:c r="E573" s="5" t="n">
        <x:v>12</x:v>
      </x:c>
      <x:c r="F573" s="5" t="n">
        <x:v>18</x:v>
      </x:c>
      <x:c r="G573" s="10" t="n">
        <x:f>IF(COUNTBLANK(E573:F573)&gt;0,"N/A",IF(F573=0,"N/A",E573/F573))</x:f>
        <x:v>0.6666666666666666</x:v>
      </x:c>
      <x:c r="H573" s="5" t="str">
        <x:v>Silver</x:v>
      </x:c>
      <x:c r="I573" s="5" t="n">
        <x:v>39</x:v>
      </x:c>
      <x:c r="J573" s="5" t="n">
        <x:v>21</x:v>
      </x:c>
      <x:c r="K573" s="5" t="str">
        <x:v>rate</x:v>
      </x:c>
      <x:c r="L573" s="5" t="str">
        <x:v>Correct / {Correct,Partially Correct,Incorrect}; insufficient and uncertain excluded; same-model Silver</x:v>
      </x:c>
    </x:row>
    <x:row r="574" ht="20" hidden="0" customHeight="1">
      <x:c r="A574" s="5" t="str">
        <x:v>paired_ablation</x:v>
      </x:c>
      <x:c r="B574" s="5" t="str">
        <x:v>holdout</x:v>
      </x:c>
      <x:c r="C574" s="5" t="str">
        <x:v>D3_FIDELITY</x:v>
      </x:c>
      <x:c r="D574" s="5" t="str">
        <x:v>materials_partially_correct_rate</x:v>
      </x:c>
      <x:c r="E574" s="5" t="n">
        <x:v>6</x:v>
      </x:c>
      <x:c r="F574" s="5" t="n">
        <x:v>18</x:v>
      </x:c>
      <x:c r="G574" s="10" t="n">
        <x:f>IF(COUNTBLANK(E574:F574)&gt;0,"N/A",IF(F574=0,"N/A",E574/F574))</x:f>
        <x:v>0.3333333333333333</x:v>
      </x:c>
      <x:c r="H574" s="5" t="str">
        <x:v>Silver</x:v>
      </x:c>
      <x:c r="I574" s="5" t="n">
        <x:v>39</x:v>
      </x:c>
      <x:c r="J574" s="5" t="n">
        <x:v>21</x:v>
      </x:c>
      <x:c r="K574" s="5" t="str">
        <x:v>rate</x:v>
      </x:c>
      <x:c r="L574" s="5" t="str"/>
    </x:row>
    <x:row r="575" ht="20" hidden="0" customHeight="1">
      <x:c r="A575" s="5" t="str">
        <x:v>paired_ablation</x:v>
      </x:c>
      <x:c r="B575" s="5" t="str">
        <x:v>holdout</x:v>
      </x:c>
      <x:c r="C575" s="5" t="str">
        <x:v>D3_FIDELITY</x:v>
      </x:c>
      <x:c r="D575" s="5" t="str">
        <x:v>process_method_correct_rate</x:v>
      </x:c>
      <x:c r="E575" s="5" t="n">
        <x:v>14</x:v>
      </x:c>
      <x:c r="F575" s="5" t="n">
        <x:v>16</x:v>
      </x:c>
      <x:c r="G575" s="10" t="n">
        <x:f>IF(COUNTBLANK(E575:F575)&gt;0,"N/A",IF(F575=0,"N/A",E575/F575))</x:f>
        <x:v>0.875</x:v>
      </x:c>
      <x:c r="H575" s="5" t="str">
        <x:v>Silver</x:v>
      </x:c>
      <x:c r="I575" s="5" t="n">
        <x:v>39</x:v>
      </x:c>
      <x:c r="J575" s="5" t="n">
        <x:v>23</x:v>
      </x:c>
      <x:c r="K575" s="5" t="str">
        <x:v>rate</x:v>
      </x:c>
      <x:c r="L575" s="5" t="str">
        <x:v>Correct / {Correct,Partially Correct,Incorrect}; insufficient and uncertain excluded; same-model Silver</x:v>
      </x:c>
    </x:row>
    <x:row r="576" ht="20" hidden="0" customHeight="1">
      <x:c r="A576" s="5" t="str">
        <x:v>paired_ablation</x:v>
      </x:c>
      <x:c r="B576" s="5" t="str">
        <x:v>holdout</x:v>
      </x:c>
      <x:c r="C576" s="5" t="str">
        <x:v>D3_FIDELITY</x:v>
      </x:c>
      <x:c r="D576" s="5" t="str">
        <x:v>process_method_partially_correct_rate</x:v>
      </x:c>
      <x:c r="E576" s="5" t="n">
        <x:v>2</x:v>
      </x:c>
      <x:c r="F576" s="5" t="n">
        <x:v>16</x:v>
      </x:c>
      <x:c r="G576" s="10" t="n">
        <x:f>IF(COUNTBLANK(E576:F576)&gt;0,"N/A",IF(F576=0,"N/A",E576/F576))</x:f>
        <x:v>0.125</x:v>
      </x:c>
      <x:c r="H576" s="5" t="str">
        <x:v>Silver</x:v>
      </x:c>
      <x:c r="I576" s="5" t="n">
        <x:v>39</x:v>
      </x:c>
      <x:c r="J576" s="5" t="n">
        <x:v>23</x:v>
      </x:c>
      <x:c r="K576" s="5" t="str">
        <x:v>rate</x:v>
      </x:c>
      <x:c r="L576" s="5" t="str"/>
    </x:row>
    <x:row r="577" ht="20" hidden="0" customHeight="1">
      <x:c r="A577" s="5" t="str">
        <x:v>paired_ablation</x:v>
      </x:c>
      <x:c r="B577" s="5" t="str">
        <x:v>holdout</x:v>
      </x:c>
      <x:c r="C577" s="5" t="str">
        <x:v>D3_FIDELITY</x:v>
      </x:c>
      <x:c r="D577" s="5" t="str">
        <x:v>process_order_correct_rate</x:v>
      </x:c>
      <x:c r="E577" s="5" t="n">
        <x:v>5</x:v>
      </x:c>
      <x:c r="F577" s="5" t="n">
        <x:v>9</x:v>
      </x:c>
      <x:c r="G577" s="10" t="n">
        <x:f>IF(COUNTBLANK(E577:F577)&gt;0,"N/A",IF(F577=0,"N/A",E577/F577))</x:f>
        <x:v>0.5555555555555556</x:v>
      </x:c>
      <x:c r="H577" s="5" t="str">
        <x:v>Silver</x:v>
      </x:c>
      <x:c r="I577" s="5" t="n">
        <x:v>39</x:v>
      </x:c>
      <x:c r="J577" s="5" t="n">
        <x:v>30</x:v>
      </x:c>
      <x:c r="K577" s="5" t="str">
        <x:v>rate</x:v>
      </x:c>
      <x:c r="L577" s="5" t="str">
        <x:v>Correct / {Correct,Partially Correct,Incorrect}; insufficient and uncertain excluded; same-model Silver</x:v>
      </x:c>
    </x:row>
    <x:row r="578" ht="20" hidden="0" customHeight="1">
      <x:c r="A578" s="5" t="str">
        <x:v>paired_ablation</x:v>
      </x:c>
      <x:c r="B578" s="5" t="str">
        <x:v>holdout</x:v>
      </x:c>
      <x:c r="C578" s="5" t="str">
        <x:v>D3_FIDELITY</x:v>
      </x:c>
      <x:c r="D578" s="5" t="str">
        <x:v>process_order_partially_correct_rate</x:v>
      </x:c>
      <x:c r="E578" s="5" t="n">
        <x:v>4</x:v>
      </x:c>
      <x:c r="F578" s="5" t="n">
        <x:v>9</x:v>
      </x:c>
      <x:c r="G578" s="10" t="n">
        <x:f>IF(COUNTBLANK(E578:F578)&gt;0,"N/A",IF(F578=0,"N/A",E578/F578))</x:f>
        <x:v>0.4444444444444444</x:v>
      </x:c>
      <x:c r="H578" s="5" t="str">
        <x:v>Silver</x:v>
      </x:c>
      <x:c r="I578" s="5" t="n">
        <x:v>39</x:v>
      </x:c>
      <x:c r="J578" s="5" t="n">
        <x:v>30</x:v>
      </x:c>
      <x:c r="K578" s="5" t="str">
        <x:v>rate</x:v>
      </x:c>
      <x:c r="L578" s="5" t="str"/>
    </x:row>
    <x:row r="579" ht="20" hidden="0" customHeight="1">
      <x:c r="A579" s="5" t="str">
        <x:v>paired_ablation</x:v>
      </x:c>
      <x:c r="B579" s="5" t="str">
        <x:v>holdout</x:v>
      </x:c>
      <x:c r="C579" s="5" t="str">
        <x:v>D3_FIDELITY</x:v>
      </x:c>
      <x:c r="D579" s="5" t="str">
        <x:v>parameters_correct_rate</x:v>
      </x:c>
      <x:c r="E579" s="5" t="n">
        <x:v>6</x:v>
      </x:c>
      <x:c r="F579" s="5" t="n">
        <x:v>11</x:v>
      </x:c>
      <x:c r="G579" s="10" t="n">
        <x:f>IF(COUNTBLANK(E579:F579)&gt;0,"N/A",IF(F579=0,"N/A",E579/F579))</x:f>
        <x:v>0.5454545454545454</x:v>
      </x:c>
      <x:c r="H579" s="5" t="str">
        <x:v>Silver</x:v>
      </x:c>
      <x:c r="I579" s="5" t="n">
        <x:v>39</x:v>
      </x:c>
      <x:c r="J579" s="5" t="n">
        <x:v>28</x:v>
      </x:c>
      <x:c r="K579" s="5" t="str">
        <x:v>rate</x:v>
      </x:c>
      <x:c r="L579" s="5" t="str">
        <x:v>Correct / {Correct,Partially Correct,Incorrect}; insufficient and uncertain excluded; same-model Silver</x:v>
      </x:c>
    </x:row>
    <x:row r="580" ht="20" hidden="0" customHeight="1">
      <x:c r="A580" s="5" t="str">
        <x:v>paired_ablation</x:v>
      </x:c>
      <x:c r="B580" s="5" t="str">
        <x:v>holdout</x:v>
      </x:c>
      <x:c r="C580" s="5" t="str">
        <x:v>D3_FIDELITY</x:v>
      </x:c>
      <x:c r="D580" s="5" t="str">
        <x:v>parameters_partially_correct_rate</x:v>
      </x:c>
      <x:c r="E580" s="5" t="n">
        <x:v>5</x:v>
      </x:c>
      <x:c r="F580" s="5" t="n">
        <x:v>11</x:v>
      </x:c>
      <x:c r="G580" s="10" t="n">
        <x:f>IF(COUNTBLANK(E580:F580)&gt;0,"N/A",IF(F580=0,"N/A",E580/F580))</x:f>
        <x:v>0.45454545454545453</x:v>
      </x:c>
      <x:c r="H580" s="5" t="str">
        <x:v>Silver</x:v>
      </x:c>
      <x:c r="I580" s="5" t="n">
        <x:v>39</x:v>
      </x:c>
      <x:c r="J580" s="5" t="n">
        <x:v>28</x:v>
      </x:c>
      <x:c r="K580" s="5" t="str">
        <x:v>rate</x:v>
      </x:c>
      <x:c r="L580" s="5" t="str"/>
    </x:row>
    <x:row r="581" ht="20" hidden="0" customHeight="1">
      <x:c r="A581" s="5" t="str">
        <x:v>paired_ablation</x:v>
      </x:c>
      <x:c r="B581" s="5" t="str">
        <x:v>holdout</x:v>
      </x:c>
      <x:c r="C581" s="5" t="str">
        <x:v>D3_FIDELITY</x:v>
      </x:c>
      <x:c r="D581" s="5" t="str">
        <x:v>effects_correct_rate</x:v>
      </x:c>
      <x:c r="E581" s="5" t="n">
        <x:v>19</x:v>
      </x:c>
      <x:c r="F581" s="5" t="n">
        <x:v>19</x:v>
      </x:c>
      <x:c r="G581" s="10" t="n">
        <x:f>IF(COUNTBLANK(E581:F581)&gt;0,"N/A",IF(F581=0,"N/A",E581/F581))</x:f>
        <x:v>1</x:v>
      </x:c>
      <x:c r="H581" s="5" t="str">
        <x:v>Silver</x:v>
      </x:c>
      <x:c r="I581" s="5" t="n">
        <x:v>39</x:v>
      </x:c>
      <x:c r="J581" s="5" t="n">
        <x:v>20</x:v>
      </x:c>
      <x:c r="K581" s="5" t="str">
        <x:v>rate</x:v>
      </x:c>
      <x:c r="L581" s="5" t="str">
        <x:v>Correct / {Correct,Partially Correct,Incorrect}; insufficient and uncertain excluded; same-model Silver</x:v>
      </x:c>
    </x:row>
    <x:row r="582" ht="20" hidden="0" customHeight="1">
      <x:c r="A582" s="5" t="str">
        <x:v>paired_ablation</x:v>
      </x:c>
      <x:c r="B582" s="5" t="str">
        <x:v>holdout</x:v>
      </x:c>
      <x:c r="C582" s="5" t="str">
        <x:v>D3_FIDELITY</x:v>
      </x:c>
      <x:c r="D582" s="5" t="str">
        <x:v>effects_partially_correct_rate</x:v>
      </x:c>
      <x:c r="E582" s="5" t="n">
        <x:v>0</x:v>
      </x:c>
      <x:c r="F582" s="5" t="n">
        <x:v>19</x:v>
      </x:c>
      <x:c r="G582" s="10" t="n">
        <x:f>IF(COUNTBLANK(E582:F582)&gt;0,"N/A",IF(F582=0,"N/A",E582/F582))</x:f>
        <x:v>0</x:v>
      </x:c>
      <x:c r="H582" s="5" t="str">
        <x:v>Silver</x:v>
      </x:c>
      <x:c r="I582" s="5" t="n">
        <x:v>39</x:v>
      </x:c>
      <x:c r="J582" s="5" t="n">
        <x:v>20</x:v>
      </x:c>
      <x:c r="K582" s="5" t="str">
        <x:v>rate</x:v>
      </x:c>
      <x:c r="L582" s="5" t="str"/>
    </x:row>
    <x:row r="583" ht="20" hidden="0" customHeight="1">
      <x:c r="A583" s="5" t="str">
        <x:v>paired_ablation</x:v>
      </x:c>
      <x:c r="B583" s="5" t="str">
        <x:v>holdout</x:v>
      </x:c>
      <x:c r="C583" s="5" t="str">
        <x:v>D3_FIDELITY</x:v>
      </x:c>
      <x:c r="D583" s="5" t="str">
        <x:v>multiple_contributions_correct_rate</x:v>
      </x:c>
      <x:c r="E583" s="5" t="n">
        <x:v>25</x:v>
      </x:c>
      <x:c r="F583" s="5" t="n">
        <x:v>28</x:v>
      </x:c>
      <x:c r="G583" s="10" t="n">
        <x:f>IF(COUNTBLANK(E583:F583)&gt;0,"N/A",IF(F583=0,"N/A",E583/F583))</x:f>
        <x:v>0.8928571428571429</x:v>
      </x:c>
      <x:c r="H583" s="5" t="str">
        <x:v>Silver</x:v>
      </x:c>
      <x:c r="I583" s="5" t="n">
        <x:v>39</x:v>
      </x:c>
      <x:c r="J583" s="5" t="n">
        <x:v>11</x:v>
      </x:c>
      <x:c r="K583" s="5" t="str">
        <x:v>rate</x:v>
      </x:c>
      <x:c r="L583" s="5" t="str">
        <x:v>Correct / {Correct,Partially Correct,Incorrect}; insufficient and uncertain excluded; same-model Silver</x:v>
      </x:c>
    </x:row>
    <x:row r="584" ht="20" hidden="0" customHeight="1">
      <x:c r="A584" s="5" t="str">
        <x:v>paired_ablation</x:v>
      </x:c>
      <x:c r="B584" s="5" t="str">
        <x:v>holdout</x:v>
      </x:c>
      <x:c r="C584" s="5" t="str">
        <x:v>D3_FIDELITY</x:v>
      </x:c>
      <x:c r="D584" s="5" t="str">
        <x:v>multiple_contributions_partially_correct_rate</x:v>
      </x:c>
      <x:c r="E584" s="5" t="n">
        <x:v>2</x:v>
      </x:c>
      <x:c r="F584" s="5" t="n">
        <x:v>28</x:v>
      </x:c>
      <x:c r="G584" s="10" t="n">
        <x:f>IF(COUNTBLANK(E584:F584)&gt;0,"N/A",IF(F584=0,"N/A",E584/F584))</x:f>
        <x:v>0.07142857142857142</x:v>
      </x:c>
      <x:c r="H584" s="5" t="str">
        <x:v>Silver</x:v>
      </x:c>
      <x:c r="I584" s="5" t="n">
        <x:v>39</x:v>
      </x:c>
      <x:c r="J584" s="5" t="n">
        <x:v>11</x:v>
      </x:c>
      <x:c r="K584" s="5" t="str">
        <x:v>rate</x:v>
      </x:c>
      <x:c r="L584" s="5" t="str"/>
    </x:row>
    <x:row r="585" ht="20" hidden="0" customHeight="1">
      <x:c r="A585" s="5" t="str">
        <x:v>paired_ablation</x:v>
      </x:c>
      <x:c r="B585" s="5" t="str">
        <x:v>holdout</x:v>
      </x:c>
      <x:c r="C585" s="5" t="str">
        <x:v>D3_FIDELITY</x:v>
      </x:c>
      <x:c r="D585" s="5" t="str">
        <x:v>hallucination_correct_rate</x:v>
      </x:c>
      <x:c r="E585" s="5" t="n">
        <x:v>39</x:v>
      </x:c>
      <x:c r="F585" s="5" t="n">
        <x:v>39</x:v>
      </x:c>
      <x:c r="G585" s="10" t="n">
        <x:f>IF(COUNTBLANK(E585:F585)&gt;0,"N/A",IF(F585=0,"N/A",E585/F585))</x:f>
        <x:v>1</x:v>
      </x:c>
      <x:c r="H585" s="5" t="str">
        <x:v>Silver</x:v>
      </x:c>
      <x:c r="I585" s="5" t="n">
        <x:v>39</x:v>
      </x:c>
      <x:c r="J585" s="5" t="n">
        <x:v>0</x:v>
      </x:c>
      <x:c r="K585" s="5" t="str">
        <x:v>rate</x:v>
      </x:c>
      <x:c r="L585" s="5" t="str">
        <x:v>Correct / {Correct,Partially Correct,Incorrect}; insufficient and uncertain excluded; same-model Silver</x:v>
      </x:c>
    </x:row>
    <x:row r="586" ht="20" hidden="0" customHeight="1">
      <x:c r="A586" s="5" t="str">
        <x:v>paired_ablation</x:v>
      </x:c>
      <x:c r="B586" s="5" t="str">
        <x:v>holdout</x:v>
      </x:c>
      <x:c r="C586" s="5" t="str">
        <x:v>D3_FIDELITY</x:v>
      </x:c>
      <x:c r="D586" s="5" t="str">
        <x:v>hallucination_partially_correct_rate</x:v>
      </x:c>
      <x:c r="E586" s="5" t="n">
        <x:v>0</x:v>
      </x:c>
      <x:c r="F586" s="5" t="n">
        <x:v>39</x:v>
      </x:c>
      <x:c r="G586" s="10" t="n">
        <x:f>IF(COUNTBLANK(E586:F586)&gt;0,"N/A",IF(F586=0,"N/A",E586/F586))</x:f>
        <x:v>0</x:v>
      </x:c>
      <x:c r="H586" s="5" t="str">
        <x:v>Silver</x:v>
      </x:c>
      <x:c r="I586" s="5" t="n">
        <x:v>39</x:v>
      </x:c>
      <x:c r="J586" s="5" t="n">
        <x:v>0</x:v>
      </x:c>
      <x:c r="K586" s="5" t="str">
        <x:v>rate</x:v>
      </x:c>
      <x:c r="L586" s="5" t="str"/>
    </x:row>
    <x:row r="587" ht="31" hidden="0" customHeight="1">
      <x:c r="A587" s="5" t="str">
        <x:v>paired_ablation</x:v>
      </x:c>
      <x:c r="B587" s="5" t="str">
        <x:v>holdout</x:v>
      </x:c>
      <x:c r="C587" s="5" t="str">
        <x:v>D3_FIDELITY</x:v>
      </x:c>
      <x:c r="D587" s="5" t="str">
        <x:v>contribution_coverage</x:v>
      </x:c>
      <x:c r="E587" s="5" t="n">
        <x:v>29</x:v>
      </x:c>
      <x:c r="F587" s="5" t="n">
        <x:v>36</x:v>
      </x:c>
      <x:c r="G587" s="10" t="n">
        <x:f>IF(COUNTBLANK(E587:F587)&gt;0,"N/A",IF(F587=0,"N/A",E587/F587))</x:f>
        <x:v>0.8055555555555556</x:v>
      </x:c>
      <x:c r="H587" s="5" t="str">
        <x:v>Silver</x:v>
      </x:c>
      <x:c r="I587" s="5" t="n">
        <x:v>39</x:v>
      </x:c>
      <x:c r="J587" s="5" t="n">
        <x:v>9</x:v>
      </x:c>
      <x:c r="K587" s="5" t="str">
        <x:v>rate</x:v>
      </x:c>
      <x:c r="L587" s="5" t="str">
        <x:v>Source-reference denominators required consistent across matched configs; disagreements/zero applicability excluded</x:v>
      </x:c>
    </x:row>
    <x:row r="588" ht="31" hidden="0" customHeight="1">
      <x:c r="A588" s="5" t="str">
        <x:v>paired_ablation</x:v>
      </x:c>
      <x:c r="B588" s="5" t="str">
        <x:v>holdout</x:v>
      </x:c>
      <x:c r="C588" s="5" t="str">
        <x:v>D3_FIDELITY</x:v>
      </x:c>
      <x:c r="D588" s="5" t="str">
        <x:v>material_retention</x:v>
      </x:c>
      <x:c r="E588" s="5" t="n">
        <x:v>27</x:v>
      </x:c>
      <x:c r="F588" s="5" t="n">
        <x:v>27</x:v>
      </x:c>
      <x:c r="G588" s="10" t="n">
        <x:f>IF(COUNTBLANK(E588:F588)&gt;0,"N/A",IF(F588=0,"N/A",E588/F588))</x:f>
        <x:v>1</x:v>
      </x:c>
      <x:c r="H588" s="5" t="str">
        <x:v>Silver</x:v>
      </x:c>
      <x:c r="I588" s="5" t="n">
        <x:v>39</x:v>
      </x:c>
      <x:c r="J588" s="5" t="n">
        <x:v>27</x:v>
      </x:c>
      <x:c r="K588" s="5" t="str">
        <x:v>rate</x:v>
      </x:c>
      <x:c r="L588" s="5" t="str">
        <x:v>Source-reference denominators required consistent across matched configs; disagreements/zero applicability excluded</x:v>
      </x:c>
    </x:row>
    <x:row r="589" ht="31" hidden="0" customHeight="1">
      <x:c r="A589" s="5" t="str">
        <x:v>paired_ablation</x:v>
      </x:c>
      <x:c r="B589" s="5" t="str">
        <x:v>holdout</x:v>
      </x:c>
      <x:c r="C589" s="5" t="str">
        <x:v>D3_FIDELITY</x:v>
      </x:c>
      <x:c r="D589" s="5" t="str">
        <x:v>process_retention</x:v>
      </x:c>
      <x:c r="E589" s="5" t="n">
        <x:v>49</x:v>
      </x:c>
      <x:c r="F589" s="5" t="n">
        <x:v>49</x:v>
      </x:c>
      <x:c r="G589" s="10" t="n">
        <x:f>IF(COUNTBLANK(E589:F589)&gt;0,"N/A",IF(F589=0,"N/A",E589/F589))</x:f>
        <x:v>1</x:v>
      </x:c>
      <x:c r="H589" s="5" t="str">
        <x:v>Silver</x:v>
      </x:c>
      <x:c r="I589" s="5" t="n">
        <x:v>39</x:v>
      </x:c>
      <x:c r="J589" s="5" t="n">
        <x:v>25</x:v>
      </x:c>
      <x:c r="K589" s="5" t="str">
        <x:v>rate</x:v>
      </x:c>
      <x:c r="L589" s="5" t="str">
        <x:v>Source-reference denominators required consistent across matched configs; disagreements/zero applicability excluded</x:v>
      </x:c>
    </x:row>
    <x:row r="590" ht="20" hidden="0" customHeight="1">
      <x:c r="A590" s="5" t="str">
        <x:v>paired_ablation</x:v>
      </x:c>
      <x:c r="B590" s="5" t="str">
        <x:v>holdout</x:v>
      </x:c>
      <x:c r="C590" s="5" t="str">
        <x:v>D3_FIDELITY</x:v>
      </x:c>
      <x:c r="D590" s="5" t="str">
        <x:v>multi_contribution_omission_rate</x:v>
      </x:c>
      <x:c r="E590" s="5" t="n">
        <x:v>0</x:v>
      </x:c>
      <x:c r="F590" s="5" t="n">
        <x:v>4</x:v>
      </x:c>
      <x:c r="G590" s="10" t="n">
        <x:f>IF(COUNTBLANK(E590:F590)&gt;0,"N/A",IF(F590=0,"N/A",E590/F590))</x:f>
        <x:v>0</x:v>
      </x:c>
      <x:c r="H590" s="5" t="str">
        <x:v>Silver</x:v>
      </x:c>
      <x:c r="I590" s="5" t="n">
        <x:v>39</x:v>
      </x:c>
      <x:c r="J590" s="5" t="n">
        <x:v>35</x:v>
      </x:c>
      <x:c r="K590" s="5" t="str">
        <x:v>rate</x:v>
      </x:c>
      <x:c r="L590" s="5" t="str"/>
    </x:row>
    <x:row r="591" ht="20" hidden="0" customHeight="1">
      <x:c r="A591" s="5" t="str">
        <x:v>paired_ablation</x:v>
      </x:c>
      <x:c r="B591" s="5" t="str">
        <x:v>holdout</x:v>
      </x:c>
      <x:c r="C591" s="5" t="str">
        <x:v>D3_FIDELITY</x:v>
      </x:c>
      <x:c r="D591" s="5" t="str">
        <x:v>full_conclusion_support_rate</x:v>
      </x:c>
      <x:c r="E591" s="5" t="n">
        <x:v>24</x:v>
      </x:c>
      <x:c r="F591" s="5" t="n">
        <x:v>24</x:v>
      </x:c>
      <x:c r="G591" s="10" t="n">
        <x:f>IF(COUNTBLANK(E591:F591)&gt;0,"N/A",IF(F591=0,"N/A",E591/F591))</x:f>
        <x:v>1</x:v>
      </x:c>
      <x:c r="H591" s="5" t="str">
        <x:v>Silver</x:v>
      </x:c>
      <x:c r="I591" s="5" t="n">
        <x:v>39</x:v>
      </x:c>
      <x:c r="J591" s="5" t="n">
        <x:v>15</x:v>
      </x:c>
      <x:c r="K591" s="5" t="str">
        <x:v>rate</x:v>
      </x:c>
      <x:c r="L591" s="5" t="str"/>
    </x:row>
    <x:row r="592" ht="20" hidden="0" customHeight="1">
      <x:c r="A592" s="5" t="str">
        <x:v>paired_ablation</x:v>
      </x:c>
      <x:c r="B592" s="5" t="str">
        <x:v>holdout</x:v>
      </x:c>
      <x:c r="C592" s="5" t="str">
        <x:v>D3_FIDELITY</x:v>
      </x:c>
      <x:c r="D592" s="5" t="str">
        <x:v>mean_contributions_per_family</x:v>
      </x:c>
      <x:c r="E592" s="5" t="n">
        <x:v>30</x:v>
      </x:c>
      <x:c r="F592" s="5" t="n">
        <x:v>39</x:v>
      </x:c>
      <x:c r="G592" s="11" t="n">
        <x:f>IF(COUNTBLANK(E592:F592)&gt;0,"N/A",IF(F592=0,"N/A",E592/F592))</x:f>
        <x:v>0.7692307692307693</x:v>
      </x:c>
      <x:c r="H592" s="5" t="str">
        <x:v>Silver</x:v>
      </x:c>
      <x:c r="I592" s="5" t="n">
        <x:v>39</x:v>
      </x:c>
      <x:c r="J592" s="5" t="n">
        <x:v>0</x:v>
      </x:c>
      <x:c r="K592" s="5" t="str">
        <x:v>contributions/family</x:v>
      </x:c>
      <x:c r="L592" s="5" t="str"/>
    </x:row>
    <x:row r="593" ht="20" hidden="0" customHeight="1">
      <x:c r="A593" s="5" t="str">
        <x:v>paired_ablation</x:v>
      </x:c>
      <x:c r="B593" s="5" t="str">
        <x:v>holdout</x:v>
      </x:c>
      <x:c r="C593" s="5" t="str">
        <x:v>D3_FIDELITY</x:v>
      </x:c>
      <x:c r="D593" s="5" t="str">
        <x:v>oversplit_contribution_rate</x:v>
      </x:c>
      <x:c r="E593" s="5" t="n">
        <x:v>2</x:v>
      </x:c>
      <x:c r="F593" s="5" t="n">
        <x:v>30</x:v>
      </x:c>
      <x:c r="G593" s="10" t="n">
        <x:f>IF(COUNTBLANK(E593:F593)&gt;0,"N/A",IF(F593=0,"N/A",E593/F593))</x:f>
        <x:v>0.06666666666666667</x:v>
      </x:c>
      <x:c r="H593" s="5" t="str">
        <x:v>Silver</x:v>
      </x:c>
      <x:c r="I593" s="5" t="n">
        <x:v>39</x:v>
      </x:c>
      <x:c r="J593" s="5" t="n">
        <x:v>0</x:v>
      </x:c>
      <x:c r="K593" s="5" t="str">
        <x:v>rate</x:v>
      </x:c>
      <x:c r="L593" s="5" t="str">
        <x:v>Auditor oversplit units / actual explicit output units; not a human error rate</x:v>
      </x:c>
    </x:row>
    <x:row r="594" ht="20" hidden="0" customHeight="1">
      <x:c r="A594" s="5" t="str">
        <x:v>paired_ablation</x:v>
      </x:c>
      <x:c r="B594" s="5" t="str">
        <x:v>holdout</x:v>
      </x:c>
      <x:c r="C594" s="5" t="str">
        <x:v>D3_FIDELITY</x:v>
      </x:c>
      <x:c r="D594" s="5" t="str">
        <x:v>hallucinated_contribution_rate</x:v>
      </x:c>
      <x:c r="E594" s="5" t="n">
        <x:v>0</x:v>
      </x:c>
      <x:c r="F594" s="5" t="n">
        <x:v>30</x:v>
      </x:c>
      <x:c r="G594" s="10" t="n">
        <x:f>IF(COUNTBLANK(E594:F594)&gt;0,"N/A",IF(F594=0,"N/A",E594/F594))</x:f>
        <x:v>0</x:v>
      </x:c>
      <x:c r="H594" s="5" t="str">
        <x:v>Silver</x:v>
      </x:c>
      <x:c r="I594" s="5" t="n">
        <x:v>39</x:v>
      </x:c>
      <x:c r="J594" s="5" t="n">
        <x:v>0</x:v>
      </x:c>
      <x:c r="K594" s="5" t="str">
        <x:v>rate</x:v>
      </x:c>
      <x:c r="L594" s="5" t="str"/>
    </x:row>
    <x:row r="595" ht="20" hidden="0" customHeight="1">
      <x:c r="A595" s="5" t="str">
        <x:v>paired_ablation</x:v>
      </x:c>
      <x:c r="B595" s="5" t="str">
        <x:v>holdout</x:v>
      </x:c>
      <x:c r="C595" s="5" t="str">
        <x:v>D3_FIDELITY</x:v>
      </x:c>
      <x:c r="D595" s="5" t="str">
        <x:v>technical_mechanism_gold_accuracy</x:v>
      </x:c>
      <x:c r="E595" s="5"/>
      <x:c r="F595" s="5"/>
      <x:c r="G595" s="10" t="str">
        <x:f>IF(COUNTBLANK(E595:F595)&gt;0,"N/A",IF(F595=0,"N/A",E595/F595))</x:f>
        <x:v>N/A</x:v>
      </x:c>
      <x:c r="H595" s="5" t="str">
        <x:v>Gold</x:v>
      </x:c>
      <x:c r="I595" s="5" t="n">
        <x:v>0</x:v>
      </x:c>
      <x:c r="J595" s="5" t="n">
        <x:v>0</x:v>
      </x:c>
      <x:c r="K595" s="5" t="str">
        <x:v>rate</x:v>
      </x:c>
      <x:c r="L595" s="5" t="str">
        <x:v>N/A: zero independent human Gold labels; AI must not be promoted to human truth</x:v>
      </x:c>
    </x:row>
    <x:row r="596" ht="20" hidden="0" customHeight="1">
      <x:c r="A596" s="5" t="str">
        <x:v>paired_ablation</x:v>
      </x:c>
      <x:c r="B596" s="5" t="str">
        <x:v>holdout</x:v>
      </x:c>
      <x:c r="C596" s="5" t="str">
        <x:v>D3_FIDELITY</x:v>
      </x:c>
      <x:c r="D596" s="5" t="str">
        <x:v>materials_gold_accuracy</x:v>
      </x:c>
      <x:c r="E596" s="5"/>
      <x:c r="F596" s="5"/>
      <x:c r="G596" s="10" t="str">
        <x:f>IF(COUNTBLANK(E596:F596)&gt;0,"N/A",IF(F596=0,"N/A",E596/F596))</x:f>
        <x:v>N/A</x:v>
      </x:c>
      <x:c r="H596" s="5" t="str">
        <x:v>Gold</x:v>
      </x:c>
      <x:c r="I596" s="5" t="n">
        <x:v>0</x:v>
      </x:c>
      <x:c r="J596" s="5" t="n">
        <x:v>0</x:v>
      </x:c>
      <x:c r="K596" s="5" t="str">
        <x:v>rate</x:v>
      </x:c>
      <x:c r="L596" s="5" t="str">
        <x:v>N/A: zero independent human Gold labels; AI must not be promoted to human truth</x:v>
      </x:c>
    </x:row>
    <x:row r="597" ht="20" hidden="0" customHeight="1">
      <x:c r="A597" s="5" t="str">
        <x:v>paired_ablation</x:v>
      </x:c>
      <x:c r="B597" s="5" t="str">
        <x:v>holdout</x:v>
      </x:c>
      <x:c r="C597" s="5" t="str">
        <x:v>D3_FIDELITY</x:v>
      </x:c>
      <x:c r="D597" s="5" t="str">
        <x:v>process_method_gold_accuracy</x:v>
      </x:c>
      <x:c r="E597" s="5"/>
      <x:c r="F597" s="5"/>
      <x:c r="G597" s="10" t="str">
        <x:f>IF(COUNTBLANK(E597:F597)&gt;0,"N/A",IF(F597=0,"N/A",E597/F597))</x:f>
        <x:v>N/A</x:v>
      </x:c>
      <x:c r="H597" s="5" t="str">
        <x:v>Gold</x:v>
      </x:c>
      <x:c r="I597" s="5" t="n">
        <x:v>0</x:v>
      </x:c>
      <x:c r="J597" s="5" t="n">
        <x:v>0</x:v>
      </x:c>
      <x:c r="K597" s="5" t="str">
        <x:v>rate</x:v>
      </x:c>
      <x:c r="L597" s="5" t="str">
        <x:v>N/A: zero independent human Gold labels; AI must not be promoted to human truth</x:v>
      </x:c>
    </x:row>
    <x:row r="598" ht="20" hidden="0" customHeight="1">
      <x:c r="A598" s="5" t="str">
        <x:v>paired_ablation</x:v>
      </x:c>
      <x:c r="B598" s="5" t="str">
        <x:v>holdout</x:v>
      </x:c>
      <x:c r="C598" s="5" t="str">
        <x:v>D3_FIDELITY</x:v>
      </x:c>
      <x:c r="D598" s="5" t="str">
        <x:v>parameters_gold_accuracy</x:v>
      </x:c>
      <x:c r="E598" s="5"/>
      <x:c r="F598" s="5"/>
      <x:c r="G598" s="10" t="str">
        <x:f>IF(COUNTBLANK(E598:F598)&gt;0,"N/A",IF(F598=0,"N/A",E598/F598))</x:f>
        <x:v>N/A</x:v>
      </x:c>
      <x:c r="H598" s="5" t="str">
        <x:v>Gold</x:v>
      </x:c>
      <x:c r="I598" s="5" t="n">
        <x:v>0</x:v>
      </x:c>
      <x:c r="J598" s="5" t="n">
        <x:v>0</x:v>
      </x:c>
      <x:c r="K598" s="5" t="str">
        <x:v>rate</x:v>
      </x:c>
      <x:c r="L598" s="5" t="str">
        <x:v>N/A: zero independent human Gold labels; AI must not be promoted to human truth</x:v>
      </x:c>
    </x:row>
    <x:row r="599" ht="20" hidden="0" customHeight="1">
      <x:c r="A599" s="5" t="str">
        <x:v>paired_ablation</x:v>
      </x:c>
      <x:c r="B599" s="5" t="str">
        <x:v>holdout</x:v>
      </x:c>
      <x:c r="C599" s="5" t="str">
        <x:v>D3_FIDELITY</x:v>
      </x:c>
      <x:c r="D599" s="5" t="str">
        <x:v>multiple_contributions_gold_accuracy</x:v>
      </x:c>
      <x:c r="E599" s="5"/>
      <x:c r="F599" s="5"/>
      <x:c r="G599" s="10" t="str">
        <x:f>IF(COUNTBLANK(E599:F599)&gt;0,"N/A",IF(F599=0,"N/A",E599/F599))</x:f>
        <x:v>N/A</x:v>
      </x:c>
      <x:c r="H599" s="5" t="str">
        <x:v>Gold</x:v>
      </x:c>
      <x:c r="I599" s="5" t="n">
        <x:v>0</x:v>
      </x:c>
      <x:c r="J599" s="5" t="n">
        <x:v>0</x:v>
      </x:c>
      <x:c r="K599" s="5" t="str">
        <x:v>rate</x:v>
      </x:c>
      <x:c r="L599" s="5" t="str">
        <x:v>N/A: zero independent human Gold labels; AI must not be promoted to human truth</x:v>
      </x:c>
    </x:row>
    <x:row r="600" ht="20" hidden="0" customHeight="1">
      <x:c r="A600" s="5" t="str">
        <x:v>paired_ablation</x:v>
      </x:c>
      <x:c r="B600" s="5" t="str">
        <x:v>holdout</x:v>
      </x:c>
      <x:c r="C600" s="5" t="str">
        <x:v>D3_EVIDENCE</x:v>
      </x:c>
      <x:c r="D600" s="5" t="str">
        <x:v>technical_object_correct_rate</x:v>
      </x:c>
      <x:c r="E600" s="5" t="n">
        <x:v>27</x:v>
      </x:c>
      <x:c r="F600" s="5" t="n">
        <x:v>27</x:v>
      </x:c>
      <x:c r="G600" s="10" t="n">
        <x:f>IF(COUNTBLANK(E600:F600)&gt;0,"N/A",IF(F600=0,"N/A",E600/F600))</x:f>
        <x:v>1</x:v>
      </x:c>
      <x:c r="H600" s="5" t="str">
        <x:v>Silver</x:v>
      </x:c>
      <x:c r="I600" s="5" t="n">
        <x:v>39</x:v>
      </x:c>
      <x:c r="J600" s="5" t="n">
        <x:v>12</x:v>
      </x:c>
      <x:c r="K600" s="5" t="str">
        <x:v>rate</x:v>
      </x:c>
      <x:c r="L600" s="5" t="str">
        <x:v>Correct / {Correct,Partially Correct,Incorrect}; insufficient and uncertain excluded; same-model Silver</x:v>
      </x:c>
    </x:row>
    <x:row r="601" ht="20" hidden="0" customHeight="1">
      <x:c r="A601" s="5" t="str">
        <x:v>paired_ablation</x:v>
      </x:c>
      <x:c r="B601" s="5" t="str">
        <x:v>holdout</x:v>
      </x:c>
      <x:c r="C601" s="5" t="str">
        <x:v>D3_EVIDENCE</x:v>
      </x:c>
      <x:c r="D601" s="5" t="str">
        <x:v>technical_object_partially_correct_rate</x:v>
      </x:c>
      <x:c r="E601" s="5" t="n">
        <x:v>0</x:v>
      </x:c>
      <x:c r="F601" s="5" t="n">
        <x:v>27</x:v>
      </x:c>
      <x:c r="G601" s="10" t="n">
        <x:f>IF(COUNTBLANK(E601:F601)&gt;0,"N/A",IF(F601=0,"N/A",E601/F601))</x:f>
        <x:v>0</x:v>
      </x:c>
      <x:c r="H601" s="5" t="str">
        <x:v>Silver</x:v>
      </x:c>
      <x:c r="I601" s="5" t="n">
        <x:v>39</x:v>
      </x:c>
      <x:c r="J601" s="5" t="n">
        <x:v>12</x:v>
      </x:c>
      <x:c r="K601" s="5" t="str">
        <x:v>rate</x:v>
      </x:c>
      <x:c r="L601" s="5" t="str"/>
    </x:row>
    <x:row r="602" ht="20" hidden="0" customHeight="1">
      <x:c r="A602" s="5" t="str">
        <x:v>paired_ablation</x:v>
      </x:c>
      <x:c r="B602" s="5" t="str">
        <x:v>holdout</x:v>
      </x:c>
      <x:c r="C602" s="5" t="str">
        <x:v>D3_EVIDENCE</x:v>
      </x:c>
      <x:c r="D602" s="5" t="str">
        <x:v>technical_problem_correct_rate</x:v>
      </x:c>
      <x:c r="E602" s="5" t="n">
        <x:v>18</x:v>
      </x:c>
      <x:c r="F602" s="5" t="n">
        <x:v>18</x:v>
      </x:c>
      <x:c r="G602" s="10" t="n">
        <x:f>IF(COUNTBLANK(E602:F602)&gt;0,"N/A",IF(F602=0,"N/A",E602/F602))</x:f>
        <x:v>1</x:v>
      </x:c>
      <x:c r="H602" s="5" t="str">
        <x:v>Silver</x:v>
      </x:c>
      <x:c r="I602" s="5" t="n">
        <x:v>39</x:v>
      </x:c>
      <x:c r="J602" s="5" t="n">
        <x:v>21</x:v>
      </x:c>
      <x:c r="K602" s="5" t="str">
        <x:v>rate</x:v>
      </x:c>
      <x:c r="L602" s="5" t="str">
        <x:v>Correct / {Correct,Partially Correct,Incorrect}; insufficient and uncertain excluded; same-model Silver</x:v>
      </x:c>
    </x:row>
    <x:row r="603" ht="20" hidden="0" customHeight="1">
      <x:c r="A603" s="5" t="str">
        <x:v>paired_ablation</x:v>
      </x:c>
      <x:c r="B603" s="5" t="str">
        <x:v>holdout</x:v>
      </x:c>
      <x:c r="C603" s="5" t="str">
        <x:v>D3_EVIDENCE</x:v>
      </x:c>
      <x:c r="D603" s="5" t="str">
        <x:v>technical_problem_partially_correct_rate</x:v>
      </x:c>
      <x:c r="E603" s="5" t="n">
        <x:v>0</x:v>
      </x:c>
      <x:c r="F603" s="5" t="n">
        <x:v>18</x:v>
      </x:c>
      <x:c r="G603" s="10" t="n">
        <x:f>IF(COUNTBLANK(E603:F603)&gt;0,"N/A",IF(F603=0,"N/A",E603/F603))</x:f>
        <x:v>0</x:v>
      </x:c>
      <x:c r="H603" s="5" t="str">
        <x:v>Silver</x:v>
      </x:c>
      <x:c r="I603" s="5" t="n">
        <x:v>39</x:v>
      </x:c>
      <x:c r="J603" s="5" t="n">
        <x:v>21</x:v>
      </x:c>
      <x:c r="K603" s="5" t="str">
        <x:v>rate</x:v>
      </x:c>
      <x:c r="L603" s="5" t="str"/>
    </x:row>
    <x:row r="604" ht="20" hidden="0" customHeight="1">
      <x:c r="A604" s="5" t="str">
        <x:v>paired_ablation</x:v>
      </x:c>
      <x:c r="B604" s="5" t="str">
        <x:v>holdout</x:v>
      </x:c>
      <x:c r="C604" s="5" t="str">
        <x:v>D3_EVIDENCE</x:v>
      </x:c>
      <x:c r="D604" s="5" t="str">
        <x:v>technical_mechanism_correct_rate</x:v>
      </x:c>
      <x:c r="E604" s="5" t="n">
        <x:v>24</x:v>
      </x:c>
      <x:c r="F604" s="5" t="n">
        <x:v>24</x:v>
      </x:c>
      <x:c r="G604" s="10" t="n">
        <x:f>IF(COUNTBLANK(E604:F604)&gt;0,"N/A",IF(F604=0,"N/A",E604/F604))</x:f>
        <x:v>1</x:v>
      </x:c>
      <x:c r="H604" s="5" t="str">
        <x:v>Silver</x:v>
      </x:c>
      <x:c r="I604" s="5" t="n">
        <x:v>39</x:v>
      </x:c>
      <x:c r="J604" s="5" t="n">
        <x:v>15</x:v>
      </x:c>
      <x:c r="K604" s="5" t="str">
        <x:v>rate</x:v>
      </x:c>
      <x:c r="L604" s="5" t="str">
        <x:v>Correct / {Correct,Partially Correct,Incorrect}; insufficient and uncertain excluded; same-model Silver</x:v>
      </x:c>
    </x:row>
    <x:row r="605" ht="20" hidden="0" customHeight="1">
      <x:c r="A605" s="5" t="str">
        <x:v>paired_ablation</x:v>
      </x:c>
      <x:c r="B605" s="5" t="str">
        <x:v>holdout</x:v>
      </x:c>
      <x:c r="C605" s="5" t="str">
        <x:v>D3_EVIDENCE</x:v>
      </x:c>
      <x:c r="D605" s="5" t="str">
        <x:v>technical_mechanism_partially_correct_rate</x:v>
      </x:c>
      <x:c r="E605" s="5" t="n">
        <x:v>0</x:v>
      </x:c>
      <x:c r="F605" s="5" t="n">
        <x:v>24</x:v>
      </x:c>
      <x:c r="G605" s="10" t="n">
        <x:f>IF(COUNTBLANK(E605:F605)&gt;0,"N/A",IF(F605=0,"N/A",E605/F605))</x:f>
        <x:v>0</x:v>
      </x:c>
      <x:c r="H605" s="5" t="str">
        <x:v>Silver</x:v>
      </x:c>
      <x:c r="I605" s="5" t="n">
        <x:v>39</x:v>
      </x:c>
      <x:c r="J605" s="5" t="n">
        <x:v>15</x:v>
      </x:c>
      <x:c r="K605" s="5" t="str">
        <x:v>rate</x:v>
      </x:c>
      <x:c r="L605" s="5" t="str"/>
    </x:row>
    <x:row r="606" ht="20" hidden="0" customHeight="1">
      <x:c r="A606" s="5" t="str">
        <x:v>paired_ablation</x:v>
      </x:c>
      <x:c r="B606" s="5" t="str">
        <x:v>holdout</x:v>
      </x:c>
      <x:c r="C606" s="5" t="str">
        <x:v>D3_EVIDENCE</x:v>
      </x:c>
      <x:c r="D606" s="5" t="str">
        <x:v>materials_correct_rate</x:v>
      </x:c>
      <x:c r="E606" s="5" t="n">
        <x:v>13</x:v>
      </x:c>
      <x:c r="F606" s="5" t="n">
        <x:v>18</x:v>
      </x:c>
      <x:c r="G606" s="10" t="n">
        <x:f>IF(COUNTBLANK(E606:F606)&gt;0,"N/A",IF(F606=0,"N/A",E606/F606))</x:f>
        <x:v>0.7222222222222222</x:v>
      </x:c>
      <x:c r="H606" s="5" t="str">
        <x:v>Silver</x:v>
      </x:c>
      <x:c r="I606" s="5" t="n">
        <x:v>39</x:v>
      </x:c>
      <x:c r="J606" s="5" t="n">
        <x:v>21</x:v>
      </x:c>
      <x:c r="K606" s="5" t="str">
        <x:v>rate</x:v>
      </x:c>
      <x:c r="L606" s="5" t="str">
        <x:v>Correct / {Correct,Partially Correct,Incorrect}; insufficient and uncertain excluded; same-model Silver</x:v>
      </x:c>
    </x:row>
    <x:row r="607" ht="20" hidden="0" customHeight="1">
      <x:c r="A607" s="5" t="str">
        <x:v>paired_ablation</x:v>
      </x:c>
      <x:c r="B607" s="5" t="str">
        <x:v>holdout</x:v>
      </x:c>
      <x:c r="C607" s="5" t="str">
        <x:v>D3_EVIDENCE</x:v>
      </x:c>
      <x:c r="D607" s="5" t="str">
        <x:v>materials_partially_correct_rate</x:v>
      </x:c>
      <x:c r="E607" s="5" t="n">
        <x:v>5</x:v>
      </x:c>
      <x:c r="F607" s="5" t="n">
        <x:v>18</x:v>
      </x:c>
      <x:c r="G607" s="10" t="n">
        <x:f>IF(COUNTBLANK(E607:F607)&gt;0,"N/A",IF(F607=0,"N/A",E607/F607))</x:f>
        <x:v>0.2777777777777778</x:v>
      </x:c>
      <x:c r="H607" s="5" t="str">
        <x:v>Silver</x:v>
      </x:c>
      <x:c r="I607" s="5" t="n">
        <x:v>39</x:v>
      </x:c>
      <x:c r="J607" s="5" t="n">
        <x:v>21</x:v>
      </x:c>
      <x:c r="K607" s="5" t="str">
        <x:v>rate</x:v>
      </x:c>
      <x:c r="L607" s="5" t="str"/>
    </x:row>
    <x:row r="608" ht="20" hidden="0" customHeight="1">
      <x:c r="A608" s="5" t="str">
        <x:v>paired_ablation</x:v>
      </x:c>
      <x:c r="B608" s="5" t="str">
        <x:v>holdout</x:v>
      </x:c>
      <x:c r="C608" s="5" t="str">
        <x:v>D3_EVIDENCE</x:v>
      </x:c>
      <x:c r="D608" s="5" t="str">
        <x:v>process_method_correct_rate</x:v>
      </x:c>
      <x:c r="E608" s="5" t="n">
        <x:v>14</x:v>
      </x:c>
      <x:c r="F608" s="5" t="n">
        <x:v>16</x:v>
      </x:c>
      <x:c r="G608" s="10" t="n">
        <x:f>IF(COUNTBLANK(E608:F608)&gt;0,"N/A",IF(F608=0,"N/A",E608/F608))</x:f>
        <x:v>0.875</x:v>
      </x:c>
      <x:c r="H608" s="5" t="str">
        <x:v>Silver</x:v>
      </x:c>
      <x:c r="I608" s="5" t="n">
        <x:v>39</x:v>
      </x:c>
      <x:c r="J608" s="5" t="n">
        <x:v>23</x:v>
      </x:c>
      <x:c r="K608" s="5" t="str">
        <x:v>rate</x:v>
      </x:c>
      <x:c r="L608" s="5" t="str">
        <x:v>Correct / {Correct,Partially Correct,Incorrect}; insufficient and uncertain excluded; same-model Silver</x:v>
      </x:c>
    </x:row>
    <x:row r="609" ht="20" hidden="0" customHeight="1">
      <x:c r="A609" s="5" t="str">
        <x:v>paired_ablation</x:v>
      </x:c>
      <x:c r="B609" s="5" t="str">
        <x:v>holdout</x:v>
      </x:c>
      <x:c r="C609" s="5" t="str">
        <x:v>D3_EVIDENCE</x:v>
      </x:c>
      <x:c r="D609" s="5" t="str">
        <x:v>process_method_partially_correct_rate</x:v>
      </x:c>
      <x:c r="E609" s="5" t="n">
        <x:v>2</x:v>
      </x:c>
      <x:c r="F609" s="5" t="n">
        <x:v>16</x:v>
      </x:c>
      <x:c r="G609" s="10" t="n">
        <x:f>IF(COUNTBLANK(E609:F609)&gt;0,"N/A",IF(F609=0,"N/A",E609/F609))</x:f>
        <x:v>0.125</x:v>
      </x:c>
      <x:c r="H609" s="5" t="str">
        <x:v>Silver</x:v>
      </x:c>
      <x:c r="I609" s="5" t="n">
        <x:v>39</x:v>
      </x:c>
      <x:c r="J609" s="5" t="n">
        <x:v>23</x:v>
      </x:c>
      <x:c r="K609" s="5" t="str">
        <x:v>rate</x:v>
      </x:c>
      <x:c r="L609" s="5" t="str"/>
    </x:row>
    <x:row r="610" ht="20" hidden="0" customHeight="1">
      <x:c r="A610" s="5" t="str">
        <x:v>paired_ablation</x:v>
      </x:c>
      <x:c r="B610" s="5" t="str">
        <x:v>holdout</x:v>
      </x:c>
      <x:c r="C610" s="5" t="str">
        <x:v>D3_EVIDENCE</x:v>
      </x:c>
      <x:c r="D610" s="5" t="str">
        <x:v>process_order_correct_rate</x:v>
      </x:c>
      <x:c r="E610" s="5" t="n">
        <x:v>5</x:v>
      </x:c>
      <x:c r="F610" s="5" t="n">
        <x:v>9</x:v>
      </x:c>
      <x:c r="G610" s="10" t="n">
        <x:f>IF(COUNTBLANK(E610:F610)&gt;0,"N/A",IF(F610=0,"N/A",E610/F610))</x:f>
        <x:v>0.5555555555555556</x:v>
      </x:c>
      <x:c r="H610" s="5" t="str">
        <x:v>Silver</x:v>
      </x:c>
      <x:c r="I610" s="5" t="n">
        <x:v>39</x:v>
      </x:c>
      <x:c r="J610" s="5" t="n">
        <x:v>30</x:v>
      </x:c>
      <x:c r="K610" s="5" t="str">
        <x:v>rate</x:v>
      </x:c>
      <x:c r="L610" s="5" t="str">
        <x:v>Correct / {Correct,Partially Correct,Incorrect}; insufficient and uncertain excluded; same-model Silver</x:v>
      </x:c>
    </x:row>
    <x:row r="611" ht="20" hidden="0" customHeight="1">
      <x:c r="A611" s="5" t="str">
        <x:v>paired_ablation</x:v>
      </x:c>
      <x:c r="B611" s="5" t="str">
        <x:v>holdout</x:v>
      </x:c>
      <x:c r="C611" s="5" t="str">
        <x:v>D3_EVIDENCE</x:v>
      </x:c>
      <x:c r="D611" s="5" t="str">
        <x:v>process_order_partially_correct_rate</x:v>
      </x:c>
      <x:c r="E611" s="5" t="n">
        <x:v>4</x:v>
      </x:c>
      <x:c r="F611" s="5" t="n">
        <x:v>9</x:v>
      </x:c>
      <x:c r="G611" s="10" t="n">
        <x:f>IF(COUNTBLANK(E611:F611)&gt;0,"N/A",IF(F611=0,"N/A",E611/F611))</x:f>
        <x:v>0.4444444444444444</x:v>
      </x:c>
      <x:c r="H611" s="5" t="str">
        <x:v>Silver</x:v>
      </x:c>
      <x:c r="I611" s="5" t="n">
        <x:v>39</x:v>
      </x:c>
      <x:c r="J611" s="5" t="n">
        <x:v>30</x:v>
      </x:c>
      <x:c r="K611" s="5" t="str">
        <x:v>rate</x:v>
      </x:c>
      <x:c r="L611" s="5" t="str"/>
    </x:row>
    <x:row r="612" ht="20" hidden="0" customHeight="1">
      <x:c r="A612" s="5" t="str">
        <x:v>paired_ablation</x:v>
      </x:c>
      <x:c r="B612" s="5" t="str">
        <x:v>holdout</x:v>
      </x:c>
      <x:c r="C612" s="5" t="str">
        <x:v>D3_EVIDENCE</x:v>
      </x:c>
      <x:c r="D612" s="5" t="str">
        <x:v>parameters_correct_rate</x:v>
      </x:c>
      <x:c r="E612" s="5" t="n">
        <x:v>7</x:v>
      </x:c>
      <x:c r="F612" s="5" t="n">
        <x:v>12</x:v>
      </x:c>
      <x:c r="G612" s="10" t="n">
        <x:f>IF(COUNTBLANK(E612:F612)&gt;0,"N/A",IF(F612=0,"N/A",E612/F612))</x:f>
        <x:v>0.5833333333333334</x:v>
      </x:c>
      <x:c r="H612" s="5" t="str">
        <x:v>Silver</x:v>
      </x:c>
      <x:c r="I612" s="5" t="n">
        <x:v>39</x:v>
      </x:c>
      <x:c r="J612" s="5" t="n">
        <x:v>27</x:v>
      </x:c>
      <x:c r="K612" s="5" t="str">
        <x:v>rate</x:v>
      </x:c>
      <x:c r="L612" s="5" t="str">
        <x:v>Correct / {Correct,Partially Correct,Incorrect}; insufficient and uncertain excluded; same-model Silver</x:v>
      </x:c>
    </x:row>
    <x:row r="613" ht="20" hidden="0" customHeight="1">
      <x:c r="A613" s="5" t="str">
        <x:v>paired_ablation</x:v>
      </x:c>
      <x:c r="B613" s="5" t="str">
        <x:v>holdout</x:v>
      </x:c>
      <x:c r="C613" s="5" t="str">
        <x:v>D3_EVIDENCE</x:v>
      </x:c>
      <x:c r="D613" s="5" t="str">
        <x:v>parameters_partially_correct_rate</x:v>
      </x:c>
      <x:c r="E613" s="5" t="n">
        <x:v>5</x:v>
      </x:c>
      <x:c r="F613" s="5" t="n">
        <x:v>12</x:v>
      </x:c>
      <x:c r="G613" s="10" t="n">
        <x:f>IF(COUNTBLANK(E613:F613)&gt;0,"N/A",IF(F613=0,"N/A",E613/F613))</x:f>
        <x:v>0.4166666666666667</x:v>
      </x:c>
      <x:c r="H613" s="5" t="str">
        <x:v>Silver</x:v>
      </x:c>
      <x:c r="I613" s="5" t="n">
        <x:v>39</x:v>
      </x:c>
      <x:c r="J613" s="5" t="n">
        <x:v>27</x:v>
      </x:c>
      <x:c r="K613" s="5" t="str">
        <x:v>rate</x:v>
      </x:c>
      <x:c r="L613" s="5" t="str"/>
    </x:row>
    <x:row r="614" ht="20" hidden="0" customHeight="1">
      <x:c r="A614" s="5" t="str">
        <x:v>paired_ablation</x:v>
      </x:c>
      <x:c r="B614" s="5" t="str">
        <x:v>holdout</x:v>
      </x:c>
      <x:c r="C614" s="5" t="str">
        <x:v>D3_EVIDENCE</x:v>
      </x:c>
      <x:c r="D614" s="5" t="str">
        <x:v>effects_correct_rate</x:v>
      </x:c>
      <x:c r="E614" s="5" t="n">
        <x:v>19</x:v>
      </x:c>
      <x:c r="F614" s="5" t="n">
        <x:v>19</x:v>
      </x:c>
      <x:c r="G614" s="10" t="n">
        <x:f>IF(COUNTBLANK(E614:F614)&gt;0,"N/A",IF(F614=0,"N/A",E614/F614))</x:f>
        <x:v>1</x:v>
      </x:c>
      <x:c r="H614" s="5" t="str">
        <x:v>Silver</x:v>
      </x:c>
      <x:c r="I614" s="5" t="n">
        <x:v>39</x:v>
      </x:c>
      <x:c r="J614" s="5" t="n">
        <x:v>20</x:v>
      </x:c>
      <x:c r="K614" s="5" t="str">
        <x:v>rate</x:v>
      </x:c>
      <x:c r="L614" s="5" t="str">
        <x:v>Correct / {Correct,Partially Correct,Incorrect}; insufficient and uncertain excluded; same-model Silver</x:v>
      </x:c>
    </x:row>
    <x:row r="615" ht="20" hidden="0" customHeight="1">
      <x:c r="A615" s="5" t="str">
        <x:v>paired_ablation</x:v>
      </x:c>
      <x:c r="B615" s="5" t="str">
        <x:v>holdout</x:v>
      </x:c>
      <x:c r="C615" s="5" t="str">
        <x:v>D3_EVIDENCE</x:v>
      </x:c>
      <x:c r="D615" s="5" t="str">
        <x:v>effects_partially_correct_rate</x:v>
      </x:c>
      <x:c r="E615" s="5" t="n">
        <x:v>0</x:v>
      </x:c>
      <x:c r="F615" s="5" t="n">
        <x:v>19</x:v>
      </x:c>
      <x:c r="G615" s="10" t="n">
        <x:f>IF(COUNTBLANK(E615:F615)&gt;0,"N/A",IF(F615=0,"N/A",E615/F615))</x:f>
        <x:v>0</x:v>
      </x:c>
      <x:c r="H615" s="5" t="str">
        <x:v>Silver</x:v>
      </x:c>
      <x:c r="I615" s="5" t="n">
        <x:v>39</x:v>
      </x:c>
      <x:c r="J615" s="5" t="n">
        <x:v>20</x:v>
      </x:c>
      <x:c r="K615" s="5" t="str">
        <x:v>rate</x:v>
      </x:c>
      <x:c r="L615" s="5" t="str"/>
    </x:row>
    <x:row r="616" ht="20" hidden="0" customHeight="1">
      <x:c r="A616" s="5" t="str">
        <x:v>paired_ablation</x:v>
      </x:c>
      <x:c r="B616" s="5" t="str">
        <x:v>holdout</x:v>
      </x:c>
      <x:c r="C616" s="5" t="str">
        <x:v>D3_EVIDENCE</x:v>
      </x:c>
      <x:c r="D616" s="5" t="str">
        <x:v>multiple_contributions_correct_rate</x:v>
      </x:c>
      <x:c r="E616" s="5" t="n">
        <x:v>24</x:v>
      </x:c>
      <x:c r="F616" s="5" t="n">
        <x:v>28</x:v>
      </x:c>
      <x:c r="G616" s="10" t="n">
        <x:f>IF(COUNTBLANK(E616:F616)&gt;0,"N/A",IF(F616=0,"N/A",E616/F616))</x:f>
        <x:v>0.8571428571428571</x:v>
      </x:c>
      <x:c r="H616" s="5" t="str">
        <x:v>Silver</x:v>
      </x:c>
      <x:c r="I616" s="5" t="n">
        <x:v>39</x:v>
      </x:c>
      <x:c r="J616" s="5" t="n">
        <x:v>11</x:v>
      </x:c>
      <x:c r="K616" s="5" t="str">
        <x:v>rate</x:v>
      </x:c>
      <x:c r="L616" s="5" t="str">
        <x:v>Correct / {Correct,Partially Correct,Incorrect}; insufficient and uncertain excluded; same-model Silver</x:v>
      </x:c>
    </x:row>
    <x:row r="617" ht="20" hidden="0" customHeight="1">
      <x:c r="A617" s="5" t="str">
        <x:v>paired_ablation</x:v>
      </x:c>
      <x:c r="B617" s="5" t="str">
        <x:v>holdout</x:v>
      </x:c>
      <x:c r="C617" s="5" t="str">
        <x:v>D3_EVIDENCE</x:v>
      </x:c>
      <x:c r="D617" s="5" t="str">
        <x:v>multiple_contributions_partially_correct_rate</x:v>
      </x:c>
      <x:c r="E617" s="5" t="n">
        <x:v>3</x:v>
      </x:c>
      <x:c r="F617" s="5" t="n">
        <x:v>28</x:v>
      </x:c>
      <x:c r="G617" s="10" t="n">
        <x:f>IF(COUNTBLANK(E617:F617)&gt;0,"N/A",IF(F617=0,"N/A",E617/F617))</x:f>
        <x:v>0.10714285714285714</x:v>
      </x:c>
      <x:c r="H617" s="5" t="str">
        <x:v>Silver</x:v>
      </x:c>
      <x:c r="I617" s="5" t="n">
        <x:v>39</x:v>
      </x:c>
      <x:c r="J617" s="5" t="n">
        <x:v>11</x:v>
      </x:c>
      <x:c r="K617" s="5" t="str">
        <x:v>rate</x:v>
      </x:c>
      <x:c r="L617" s="5" t="str"/>
    </x:row>
    <x:row r="618" ht="20" hidden="0" customHeight="1">
      <x:c r="A618" s="5" t="str">
        <x:v>paired_ablation</x:v>
      </x:c>
      <x:c r="B618" s="5" t="str">
        <x:v>holdout</x:v>
      </x:c>
      <x:c r="C618" s="5" t="str">
        <x:v>D3_EVIDENCE</x:v>
      </x:c>
      <x:c r="D618" s="5" t="str">
        <x:v>hallucination_correct_rate</x:v>
      </x:c>
      <x:c r="E618" s="5" t="n">
        <x:v>39</x:v>
      </x:c>
      <x:c r="F618" s="5" t="n">
        <x:v>39</x:v>
      </x:c>
      <x:c r="G618" s="10" t="n">
        <x:f>IF(COUNTBLANK(E618:F618)&gt;0,"N/A",IF(F618=0,"N/A",E618/F618))</x:f>
        <x:v>1</x:v>
      </x:c>
      <x:c r="H618" s="5" t="str">
        <x:v>Silver</x:v>
      </x:c>
      <x:c r="I618" s="5" t="n">
        <x:v>39</x:v>
      </x:c>
      <x:c r="J618" s="5" t="n">
        <x:v>0</x:v>
      </x:c>
      <x:c r="K618" s="5" t="str">
        <x:v>rate</x:v>
      </x:c>
      <x:c r="L618" s="5" t="str">
        <x:v>Correct / {Correct,Partially Correct,Incorrect}; insufficient and uncertain excluded; same-model Silver</x:v>
      </x:c>
    </x:row>
    <x:row r="619" ht="20" hidden="0" customHeight="1">
      <x:c r="A619" s="5" t="str">
        <x:v>paired_ablation</x:v>
      </x:c>
      <x:c r="B619" s="5" t="str">
        <x:v>holdout</x:v>
      </x:c>
      <x:c r="C619" s="5" t="str">
        <x:v>D3_EVIDENCE</x:v>
      </x:c>
      <x:c r="D619" s="5" t="str">
        <x:v>hallucination_partially_correct_rate</x:v>
      </x:c>
      <x:c r="E619" s="5" t="n">
        <x:v>0</x:v>
      </x:c>
      <x:c r="F619" s="5" t="n">
        <x:v>39</x:v>
      </x:c>
      <x:c r="G619" s="10" t="n">
        <x:f>IF(COUNTBLANK(E619:F619)&gt;0,"N/A",IF(F619=0,"N/A",E619/F619))</x:f>
        <x:v>0</x:v>
      </x:c>
      <x:c r="H619" s="5" t="str">
        <x:v>Silver</x:v>
      </x:c>
      <x:c r="I619" s="5" t="n">
        <x:v>39</x:v>
      </x:c>
      <x:c r="J619" s="5" t="n">
        <x:v>0</x:v>
      </x:c>
      <x:c r="K619" s="5" t="str">
        <x:v>rate</x:v>
      </x:c>
      <x:c r="L619" s="5" t="str"/>
    </x:row>
    <x:row r="620" ht="31" hidden="0" customHeight="1">
      <x:c r="A620" s="5" t="str">
        <x:v>paired_ablation</x:v>
      </x:c>
      <x:c r="B620" s="5" t="str">
        <x:v>holdout</x:v>
      </x:c>
      <x:c r="C620" s="5" t="str">
        <x:v>D3_EVIDENCE</x:v>
      </x:c>
      <x:c r="D620" s="5" t="str">
        <x:v>contribution_coverage</x:v>
      </x:c>
      <x:c r="E620" s="5" t="n">
        <x:v>28</x:v>
      </x:c>
      <x:c r="F620" s="5" t="n">
        <x:v>36</x:v>
      </x:c>
      <x:c r="G620" s="10" t="n">
        <x:f>IF(COUNTBLANK(E620:F620)&gt;0,"N/A",IF(F620=0,"N/A",E620/F620))</x:f>
        <x:v>0.7777777777777778</x:v>
      </x:c>
      <x:c r="H620" s="5" t="str">
        <x:v>Silver</x:v>
      </x:c>
      <x:c r="I620" s="5" t="n">
        <x:v>39</x:v>
      </x:c>
      <x:c r="J620" s="5" t="n">
        <x:v>9</x:v>
      </x:c>
      <x:c r="K620" s="5" t="str">
        <x:v>rate</x:v>
      </x:c>
      <x:c r="L620" s="5" t="str">
        <x:v>Source-reference denominators required consistent across matched configs; disagreements/zero applicability excluded</x:v>
      </x:c>
    </x:row>
    <x:row r="621" ht="31" hidden="0" customHeight="1">
      <x:c r="A621" s="5" t="str">
        <x:v>paired_ablation</x:v>
      </x:c>
      <x:c r="B621" s="5" t="str">
        <x:v>holdout</x:v>
      </x:c>
      <x:c r="C621" s="5" t="str">
        <x:v>D3_EVIDENCE</x:v>
      </x:c>
      <x:c r="D621" s="5" t="str">
        <x:v>material_retention</x:v>
      </x:c>
      <x:c r="E621" s="5" t="n">
        <x:v>27</x:v>
      </x:c>
      <x:c r="F621" s="5" t="n">
        <x:v>27</x:v>
      </x:c>
      <x:c r="G621" s="10" t="n">
        <x:f>IF(COUNTBLANK(E621:F621)&gt;0,"N/A",IF(F621=0,"N/A",E621/F621))</x:f>
        <x:v>1</x:v>
      </x:c>
      <x:c r="H621" s="5" t="str">
        <x:v>Silver</x:v>
      </x:c>
      <x:c r="I621" s="5" t="n">
        <x:v>39</x:v>
      </x:c>
      <x:c r="J621" s="5" t="n">
        <x:v>27</x:v>
      </x:c>
      <x:c r="K621" s="5" t="str">
        <x:v>rate</x:v>
      </x:c>
      <x:c r="L621" s="5" t="str">
        <x:v>Source-reference denominators required consistent across matched configs; disagreements/zero applicability excluded</x:v>
      </x:c>
    </x:row>
    <x:row r="622" ht="31" hidden="0" customHeight="1">
      <x:c r="A622" s="5" t="str">
        <x:v>paired_ablation</x:v>
      </x:c>
      <x:c r="B622" s="5" t="str">
        <x:v>holdout</x:v>
      </x:c>
      <x:c r="C622" s="5" t="str">
        <x:v>D3_EVIDENCE</x:v>
      </x:c>
      <x:c r="D622" s="5" t="str">
        <x:v>process_retention</x:v>
      </x:c>
      <x:c r="E622" s="5" t="n">
        <x:v>49</x:v>
      </x:c>
      <x:c r="F622" s="5" t="n">
        <x:v>49</x:v>
      </x:c>
      <x:c r="G622" s="10" t="n">
        <x:f>IF(COUNTBLANK(E622:F622)&gt;0,"N/A",IF(F622=0,"N/A",E622/F622))</x:f>
        <x:v>1</x:v>
      </x:c>
      <x:c r="H622" s="5" t="str">
        <x:v>Silver</x:v>
      </x:c>
      <x:c r="I622" s="5" t="n">
        <x:v>39</x:v>
      </x:c>
      <x:c r="J622" s="5" t="n">
        <x:v>25</x:v>
      </x:c>
      <x:c r="K622" s="5" t="str">
        <x:v>rate</x:v>
      </x:c>
      <x:c r="L622" s="5" t="str">
        <x:v>Source-reference denominators required consistent across matched configs; disagreements/zero applicability excluded</x:v>
      </x:c>
    </x:row>
    <x:row r="623" ht="20" hidden="0" customHeight="1">
      <x:c r="A623" s="5" t="str">
        <x:v>paired_ablation</x:v>
      </x:c>
      <x:c r="B623" s="5" t="str">
        <x:v>holdout</x:v>
      </x:c>
      <x:c r="C623" s="5" t="str">
        <x:v>D3_EVIDENCE</x:v>
      </x:c>
      <x:c r="D623" s="5" t="str">
        <x:v>multi_contribution_omission_rate</x:v>
      </x:c>
      <x:c r="E623" s="5" t="n">
        <x:v>1</x:v>
      </x:c>
      <x:c r="F623" s="5" t="n">
        <x:v>4</x:v>
      </x:c>
      <x:c r="G623" s="10" t="n">
        <x:f>IF(COUNTBLANK(E623:F623)&gt;0,"N/A",IF(F623=0,"N/A",E623/F623))</x:f>
        <x:v>0.25</x:v>
      </x:c>
      <x:c r="H623" s="5" t="str">
        <x:v>Silver</x:v>
      </x:c>
      <x:c r="I623" s="5" t="n">
        <x:v>39</x:v>
      </x:c>
      <x:c r="J623" s="5" t="n">
        <x:v>35</x:v>
      </x:c>
      <x:c r="K623" s="5" t="str">
        <x:v>rate</x:v>
      </x:c>
      <x:c r="L623" s="5" t="str"/>
    </x:row>
    <x:row r="624" ht="20" hidden="0" customHeight="1">
      <x:c r="A624" s="5" t="str">
        <x:v>paired_ablation</x:v>
      </x:c>
      <x:c r="B624" s="5" t="str">
        <x:v>holdout</x:v>
      </x:c>
      <x:c r="C624" s="5" t="str">
        <x:v>D3_EVIDENCE</x:v>
      </x:c>
      <x:c r="D624" s="5" t="str">
        <x:v>full_conclusion_support_rate</x:v>
      </x:c>
      <x:c r="E624" s="5" t="n">
        <x:v>24</x:v>
      </x:c>
      <x:c r="F624" s="5" t="n">
        <x:v>24</x:v>
      </x:c>
      <x:c r="G624" s="10" t="n">
        <x:f>IF(COUNTBLANK(E624:F624)&gt;0,"N/A",IF(F624=0,"N/A",E624/F624))</x:f>
        <x:v>1</x:v>
      </x:c>
      <x:c r="H624" s="5" t="str">
        <x:v>Silver</x:v>
      </x:c>
      <x:c r="I624" s="5" t="n">
        <x:v>39</x:v>
      </x:c>
      <x:c r="J624" s="5" t="n">
        <x:v>15</x:v>
      </x:c>
      <x:c r="K624" s="5" t="str">
        <x:v>rate</x:v>
      </x:c>
      <x:c r="L624" s="5" t="str"/>
    </x:row>
    <x:row r="625" ht="20" hidden="0" customHeight="1">
      <x:c r="A625" s="5" t="str">
        <x:v>paired_ablation</x:v>
      </x:c>
      <x:c r="B625" s="5" t="str">
        <x:v>holdout</x:v>
      </x:c>
      <x:c r="C625" s="5" t="str">
        <x:v>D3_EVIDENCE</x:v>
      </x:c>
      <x:c r="D625" s="5" t="str">
        <x:v>mean_contributions_per_family</x:v>
      </x:c>
      <x:c r="E625" s="5" t="n">
        <x:v>29</x:v>
      </x:c>
      <x:c r="F625" s="5" t="n">
        <x:v>39</x:v>
      </x:c>
      <x:c r="G625" s="11" t="n">
        <x:f>IF(COUNTBLANK(E625:F625)&gt;0,"N/A",IF(F625=0,"N/A",E625/F625))</x:f>
        <x:v>0.7435897435897436</x:v>
      </x:c>
      <x:c r="H625" s="5" t="str">
        <x:v>Silver</x:v>
      </x:c>
      <x:c r="I625" s="5" t="n">
        <x:v>39</x:v>
      </x:c>
      <x:c r="J625" s="5" t="n">
        <x:v>0</x:v>
      </x:c>
      <x:c r="K625" s="5" t="str">
        <x:v>contributions/family</x:v>
      </x:c>
      <x:c r="L625" s="5" t="str"/>
    </x:row>
    <x:row r="626" ht="20" hidden="0" customHeight="1">
      <x:c r="A626" s="5" t="str">
        <x:v>paired_ablation</x:v>
      </x:c>
      <x:c r="B626" s="5" t="str">
        <x:v>holdout</x:v>
      </x:c>
      <x:c r="C626" s="5" t="str">
        <x:v>D3_EVIDENCE</x:v>
      </x:c>
      <x:c r="D626" s="5" t="str">
        <x:v>oversplit_contribution_rate</x:v>
      </x:c>
      <x:c r="E626" s="5" t="n">
        <x:v>2</x:v>
      </x:c>
      <x:c r="F626" s="5" t="n">
        <x:v>29</x:v>
      </x:c>
      <x:c r="G626" s="10" t="n">
        <x:f>IF(COUNTBLANK(E626:F626)&gt;0,"N/A",IF(F626=0,"N/A",E626/F626))</x:f>
        <x:v>0.06896551724137931</x:v>
      </x:c>
      <x:c r="H626" s="5" t="str">
        <x:v>Silver</x:v>
      </x:c>
      <x:c r="I626" s="5" t="n">
        <x:v>39</x:v>
      </x:c>
      <x:c r="J626" s="5" t="n">
        <x:v>0</x:v>
      </x:c>
      <x:c r="K626" s="5" t="str">
        <x:v>rate</x:v>
      </x:c>
      <x:c r="L626" s="5" t="str">
        <x:v>Auditor oversplit units / actual explicit output units; not a human error rate</x:v>
      </x:c>
    </x:row>
    <x:row r="627" ht="20" hidden="0" customHeight="1">
      <x:c r="A627" s="5" t="str">
        <x:v>paired_ablation</x:v>
      </x:c>
      <x:c r="B627" s="5" t="str">
        <x:v>holdout</x:v>
      </x:c>
      <x:c r="C627" s="5" t="str">
        <x:v>D3_EVIDENCE</x:v>
      </x:c>
      <x:c r="D627" s="5" t="str">
        <x:v>hallucinated_contribution_rate</x:v>
      </x:c>
      <x:c r="E627" s="5" t="n">
        <x:v>0</x:v>
      </x:c>
      <x:c r="F627" s="5" t="n">
        <x:v>29</x:v>
      </x:c>
      <x:c r="G627" s="10" t="n">
        <x:f>IF(COUNTBLANK(E627:F627)&gt;0,"N/A",IF(F627=0,"N/A",E627/F627))</x:f>
        <x:v>0</x:v>
      </x:c>
      <x:c r="H627" s="5" t="str">
        <x:v>Silver</x:v>
      </x:c>
      <x:c r="I627" s="5" t="n">
        <x:v>39</x:v>
      </x:c>
      <x:c r="J627" s="5" t="n">
        <x:v>0</x:v>
      </x:c>
      <x:c r="K627" s="5" t="str">
        <x:v>rate</x:v>
      </x:c>
      <x:c r="L627" s="5" t="str"/>
    </x:row>
    <x:row r="628" ht="20" hidden="0" customHeight="1">
      <x:c r="A628" s="5" t="str">
        <x:v>paired_ablation</x:v>
      </x:c>
      <x:c r="B628" s="5" t="str">
        <x:v>holdout</x:v>
      </x:c>
      <x:c r="C628" s="5" t="str">
        <x:v>D3_EVIDENCE</x:v>
      </x:c>
      <x:c r="D628" s="5" t="str">
        <x:v>technical_mechanism_gold_accuracy</x:v>
      </x:c>
      <x:c r="E628" s="5"/>
      <x:c r="F628" s="5"/>
      <x:c r="G628" s="10" t="str">
        <x:f>IF(COUNTBLANK(E628:F628)&gt;0,"N/A",IF(F628=0,"N/A",E628/F628))</x:f>
        <x:v>N/A</x:v>
      </x:c>
      <x:c r="H628" s="5" t="str">
        <x:v>Gold</x:v>
      </x:c>
      <x:c r="I628" s="5" t="n">
        <x:v>0</x:v>
      </x:c>
      <x:c r="J628" s="5" t="n">
        <x:v>0</x:v>
      </x:c>
      <x:c r="K628" s="5" t="str">
        <x:v>rate</x:v>
      </x:c>
      <x:c r="L628" s="5" t="str">
        <x:v>N/A: zero independent human Gold labels; AI must not be promoted to human truth</x:v>
      </x:c>
    </x:row>
    <x:row r="629" ht="20" hidden="0" customHeight="1">
      <x:c r="A629" s="5" t="str">
        <x:v>paired_ablation</x:v>
      </x:c>
      <x:c r="B629" s="5" t="str">
        <x:v>holdout</x:v>
      </x:c>
      <x:c r="C629" s="5" t="str">
        <x:v>D3_EVIDENCE</x:v>
      </x:c>
      <x:c r="D629" s="5" t="str">
        <x:v>materials_gold_accuracy</x:v>
      </x:c>
      <x:c r="E629" s="5"/>
      <x:c r="F629" s="5"/>
      <x:c r="G629" s="10" t="str">
        <x:f>IF(COUNTBLANK(E629:F629)&gt;0,"N/A",IF(F629=0,"N/A",E629/F629))</x:f>
        <x:v>N/A</x:v>
      </x:c>
      <x:c r="H629" s="5" t="str">
        <x:v>Gold</x:v>
      </x:c>
      <x:c r="I629" s="5" t="n">
        <x:v>0</x:v>
      </x:c>
      <x:c r="J629" s="5" t="n">
        <x:v>0</x:v>
      </x:c>
      <x:c r="K629" s="5" t="str">
        <x:v>rate</x:v>
      </x:c>
      <x:c r="L629" s="5" t="str">
        <x:v>N/A: zero independent human Gold labels; AI must not be promoted to human truth</x:v>
      </x:c>
    </x:row>
    <x:row r="630" ht="20" hidden="0" customHeight="1">
      <x:c r="A630" s="5" t="str">
        <x:v>paired_ablation</x:v>
      </x:c>
      <x:c r="B630" s="5" t="str">
        <x:v>holdout</x:v>
      </x:c>
      <x:c r="C630" s="5" t="str">
        <x:v>D3_EVIDENCE</x:v>
      </x:c>
      <x:c r="D630" s="5" t="str">
        <x:v>process_method_gold_accuracy</x:v>
      </x:c>
      <x:c r="E630" s="5"/>
      <x:c r="F630" s="5"/>
      <x:c r="G630" s="10" t="str">
        <x:f>IF(COUNTBLANK(E630:F630)&gt;0,"N/A",IF(F630=0,"N/A",E630/F630))</x:f>
        <x:v>N/A</x:v>
      </x:c>
      <x:c r="H630" s="5" t="str">
        <x:v>Gold</x:v>
      </x:c>
      <x:c r="I630" s="5" t="n">
        <x:v>0</x:v>
      </x:c>
      <x:c r="J630" s="5" t="n">
        <x:v>0</x:v>
      </x:c>
      <x:c r="K630" s="5" t="str">
        <x:v>rate</x:v>
      </x:c>
      <x:c r="L630" s="5" t="str">
        <x:v>N/A: zero independent human Gold labels; AI must not be promoted to human truth</x:v>
      </x:c>
    </x:row>
    <x:row r="631" ht="20" hidden="0" customHeight="1">
      <x:c r="A631" s="5" t="str">
        <x:v>paired_ablation</x:v>
      </x:c>
      <x:c r="B631" s="5" t="str">
        <x:v>holdout</x:v>
      </x:c>
      <x:c r="C631" s="5" t="str">
        <x:v>D3_EVIDENCE</x:v>
      </x:c>
      <x:c r="D631" s="5" t="str">
        <x:v>parameters_gold_accuracy</x:v>
      </x:c>
      <x:c r="E631" s="5"/>
      <x:c r="F631" s="5"/>
      <x:c r="G631" s="10" t="str">
        <x:f>IF(COUNTBLANK(E631:F631)&gt;0,"N/A",IF(F631=0,"N/A",E631/F631))</x:f>
        <x:v>N/A</x:v>
      </x:c>
      <x:c r="H631" s="5" t="str">
        <x:v>Gold</x:v>
      </x:c>
      <x:c r="I631" s="5" t="n">
        <x:v>0</x:v>
      </x:c>
      <x:c r="J631" s="5" t="n">
        <x:v>0</x:v>
      </x:c>
      <x:c r="K631" s="5" t="str">
        <x:v>rate</x:v>
      </x:c>
      <x:c r="L631" s="5" t="str">
        <x:v>N/A: zero independent human Gold labels; AI must not be promoted to human truth</x:v>
      </x:c>
    </x:row>
    <x:row r="632" ht="20" hidden="0" customHeight="1">
      <x:c r="A632" s="5" t="str">
        <x:v>paired_ablation</x:v>
      </x:c>
      <x:c r="B632" s="5" t="str">
        <x:v>holdout</x:v>
      </x:c>
      <x:c r="C632" s="5" t="str">
        <x:v>D3_EVIDENCE</x:v>
      </x:c>
      <x:c r="D632" s="5" t="str">
        <x:v>multiple_contributions_gold_accuracy</x:v>
      </x:c>
      <x:c r="E632" s="5"/>
      <x:c r="F632" s="5"/>
      <x:c r="G632" s="10" t="str">
        <x:f>IF(COUNTBLANK(E632:F632)&gt;0,"N/A",IF(F632=0,"N/A",E632/F632))</x:f>
        <x:v>N/A</x:v>
      </x:c>
      <x:c r="H632" s="5" t="str">
        <x:v>Gold</x:v>
      </x:c>
      <x:c r="I632" s="5" t="n">
        <x:v>0</x:v>
      </x:c>
      <x:c r="J632" s="5" t="n">
        <x:v>0</x:v>
      </x:c>
      <x:c r="K632" s="5" t="str">
        <x:v>rate</x:v>
      </x:c>
      <x:c r="L632" s="5" t="str">
        <x:v>N/A: zero independent human Gold labels; AI must not be promoted to human truth</x:v>
      </x:c>
    </x:row>
    <x:row r="633" ht="20" hidden="0" customHeight="1">
      <x:c r="A633" s="5" t="str">
        <x:v>paired_ablation</x:v>
      </x:c>
      <x:c r="B633" s="5" t="str">
        <x:v>holdout</x:v>
      </x:c>
      <x:c r="C633" s="5" t="str">
        <x:v>D3_FULL</x:v>
      </x:c>
      <x:c r="D633" s="5" t="str">
        <x:v>technical_object_correct_rate</x:v>
      </x:c>
      <x:c r="E633" s="5" t="n">
        <x:v>27</x:v>
      </x:c>
      <x:c r="F633" s="5" t="n">
        <x:v>27</x:v>
      </x:c>
      <x:c r="G633" s="10" t="n">
        <x:f>IF(COUNTBLANK(E633:F633)&gt;0,"N/A",IF(F633=0,"N/A",E633/F633))</x:f>
        <x:v>1</x:v>
      </x:c>
      <x:c r="H633" s="5" t="str">
        <x:v>Silver</x:v>
      </x:c>
      <x:c r="I633" s="5" t="n">
        <x:v>39</x:v>
      </x:c>
      <x:c r="J633" s="5" t="n">
        <x:v>12</x:v>
      </x:c>
      <x:c r="K633" s="5" t="str">
        <x:v>rate</x:v>
      </x:c>
      <x:c r="L633" s="5" t="str">
        <x:v>Correct / {Correct,Partially Correct,Incorrect}; insufficient and uncertain excluded; same-model Silver</x:v>
      </x:c>
    </x:row>
    <x:row r="634" ht="20" hidden="0" customHeight="1">
      <x:c r="A634" s="5" t="str">
        <x:v>paired_ablation</x:v>
      </x:c>
      <x:c r="B634" s="5" t="str">
        <x:v>holdout</x:v>
      </x:c>
      <x:c r="C634" s="5" t="str">
        <x:v>D3_FULL</x:v>
      </x:c>
      <x:c r="D634" s="5" t="str">
        <x:v>technical_object_partially_correct_rate</x:v>
      </x:c>
      <x:c r="E634" s="5" t="n">
        <x:v>0</x:v>
      </x:c>
      <x:c r="F634" s="5" t="n">
        <x:v>27</x:v>
      </x:c>
      <x:c r="G634" s="10" t="n">
        <x:f>IF(COUNTBLANK(E634:F634)&gt;0,"N/A",IF(F634=0,"N/A",E634/F634))</x:f>
        <x:v>0</x:v>
      </x:c>
      <x:c r="H634" s="5" t="str">
        <x:v>Silver</x:v>
      </x:c>
      <x:c r="I634" s="5" t="n">
        <x:v>39</x:v>
      </x:c>
      <x:c r="J634" s="5" t="n">
        <x:v>12</x:v>
      </x:c>
      <x:c r="K634" s="5" t="str">
        <x:v>rate</x:v>
      </x:c>
      <x:c r="L634" s="5" t="str"/>
    </x:row>
    <x:row r="635" ht="20" hidden="0" customHeight="1">
      <x:c r="A635" s="5" t="str">
        <x:v>paired_ablation</x:v>
      </x:c>
      <x:c r="B635" s="5" t="str">
        <x:v>holdout</x:v>
      </x:c>
      <x:c r="C635" s="5" t="str">
        <x:v>D3_FULL</x:v>
      </x:c>
      <x:c r="D635" s="5" t="str">
        <x:v>technical_problem_correct_rate</x:v>
      </x:c>
      <x:c r="E635" s="5" t="n">
        <x:v>18</x:v>
      </x:c>
      <x:c r="F635" s="5" t="n">
        <x:v>18</x:v>
      </x:c>
      <x:c r="G635" s="10" t="n">
        <x:f>IF(COUNTBLANK(E635:F635)&gt;0,"N/A",IF(F635=0,"N/A",E635/F635))</x:f>
        <x:v>1</x:v>
      </x:c>
      <x:c r="H635" s="5" t="str">
        <x:v>Silver</x:v>
      </x:c>
      <x:c r="I635" s="5" t="n">
        <x:v>39</x:v>
      </x:c>
      <x:c r="J635" s="5" t="n">
        <x:v>21</x:v>
      </x:c>
      <x:c r="K635" s="5" t="str">
        <x:v>rate</x:v>
      </x:c>
      <x:c r="L635" s="5" t="str">
        <x:v>Correct / {Correct,Partially Correct,Incorrect}; insufficient and uncertain excluded; same-model Silver</x:v>
      </x:c>
    </x:row>
    <x:row r="636" ht="20" hidden="0" customHeight="1">
      <x:c r="A636" s="5" t="str">
        <x:v>paired_ablation</x:v>
      </x:c>
      <x:c r="B636" s="5" t="str">
        <x:v>holdout</x:v>
      </x:c>
      <x:c r="C636" s="5" t="str">
        <x:v>D3_FULL</x:v>
      </x:c>
      <x:c r="D636" s="5" t="str">
        <x:v>technical_problem_partially_correct_rate</x:v>
      </x:c>
      <x:c r="E636" s="5" t="n">
        <x:v>0</x:v>
      </x:c>
      <x:c r="F636" s="5" t="n">
        <x:v>18</x:v>
      </x:c>
      <x:c r="G636" s="10" t="n">
        <x:f>IF(COUNTBLANK(E636:F636)&gt;0,"N/A",IF(F636=0,"N/A",E636/F636))</x:f>
        <x:v>0</x:v>
      </x:c>
      <x:c r="H636" s="5" t="str">
        <x:v>Silver</x:v>
      </x:c>
      <x:c r="I636" s="5" t="n">
        <x:v>39</x:v>
      </x:c>
      <x:c r="J636" s="5" t="n">
        <x:v>21</x:v>
      </x:c>
      <x:c r="K636" s="5" t="str">
        <x:v>rate</x:v>
      </x:c>
      <x:c r="L636" s="5" t="str"/>
    </x:row>
    <x:row r="637" ht="20" hidden="0" customHeight="1">
      <x:c r="A637" s="5" t="str">
        <x:v>paired_ablation</x:v>
      </x:c>
      <x:c r="B637" s="5" t="str">
        <x:v>holdout</x:v>
      </x:c>
      <x:c r="C637" s="5" t="str">
        <x:v>D3_FULL</x:v>
      </x:c>
      <x:c r="D637" s="5" t="str">
        <x:v>technical_mechanism_correct_rate</x:v>
      </x:c>
      <x:c r="E637" s="5" t="n">
        <x:v>24</x:v>
      </x:c>
      <x:c r="F637" s="5" t="n">
        <x:v>24</x:v>
      </x:c>
      <x:c r="G637" s="10" t="n">
        <x:f>IF(COUNTBLANK(E637:F637)&gt;0,"N/A",IF(F637=0,"N/A",E637/F637))</x:f>
        <x:v>1</x:v>
      </x:c>
      <x:c r="H637" s="5" t="str">
        <x:v>Silver</x:v>
      </x:c>
      <x:c r="I637" s="5" t="n">
        <x:v>39</x:v>
      </x:c>
      <x:c r="J637" s="5" t="n">
        <x:v>15</x:v>
      </x:c>
      <x:c r="K637" s="5" t="str">
        <x:v>rate</x:v>
      </x:c>
      <x:c r="L637" s="5" t="str">
        <x:v>Correct / {Correct,Partially Correct,Incorrect}; insufficient and uncertain excluded; same-model Silver</x:v>
      </x:c>
    </x:row>
    <x:row r="638" ht="20" hidden="0" customHeight="1">
      <x:c r="A638" s="5" t="str">
        <x:v>paired_ablation</x:v>
      </x:c>
      <x:c r="B638" s="5" t="str">
        <x:v>holdout</x:v>
      </x:c>
      <x:c r="C638" s="5" t="str">
        <x:v>D3_FULL</x:v>
      </x:c>
      <x:c r="D638" s="5" t="str">
        <x:v>technical_mechanism_partially_correct_rate</x:v>
      </x:c>
      <x:c r="E638" s="5" t="n">
        <x:v>0</x:v>
      </x:c>
      <x:c r="F638" s="5" t="n">
        <x:v>24</x:v>
      </x:c>
      <x:c r="G638" s="10" t="n">
        <x:f>IF(COUNTBLANK(E638:F638)&gt;0,"N/A",IF(F638=0,"N/A",E638/F638))</x:f>
        <x:v>0</x:v>
      </x:c>
      <x:c r="H638" s="5" t="str">
        <x:v>Silver</x:v>
      </x:c>
      <x:c r="I638" s="5" t="n">
        <x:v>39</x:v>
      </x:c>
      <x:c r="J638" s="5" t="n">
        <x:v>15</x:v>
      </x:c>
      <x:c r="K638" s="5" t="str">
        <x:v>rate</x:v>
      </x:c>
      <x:c r="L638" s="5" t="str"/>
    </x:row>
    <x:row r="639" ht="20" hidden="0" customHeight="1">
      <x:c r="A639" s="5" t="str">
        <x:v>paired_ablation</x:v>
      </x:c>
      <x:c r="B639" s="5" t="str">
        <x:v>holdout</x:v>
      </x:c>
      <x:c r="C639" s="5" t="str">
        <x:v>D3_FULL</x:v>
      </x:c>
      <x:c r="D639" s="5" t="str">
        <x:v>materials_correct_rate</x:v>
      </x:c>
      <x:c r="E639" s="5" t="n">
        <x:v>13</x:v>
      </x:c>
      <x:c r="F639" s="5" t="n">
        <x:v>18</x:v>
      </x:c>
      <x:c r="G639" s="10" t="n">
        <x:f>IF(COUNTBLANK(E639:F639)&gt;0,"N/A",IF(F639=0,"N/A",E639/F639))</x:f>
        <x:v>0.7222222222222222</x:v>
      </x:c>
      <x:c r="H639" s="5" t="str">
        <x:v>Silver</x:v>
      </x:c>
      <x:c r="I639" s="5" t="n">
        <x:v>39</x:v>
      </x:c>
      <x:c r="J639" s="5" t="n">
        <x:v>21</x:v>
      </x:c>
      <x:c r="K639" s="5" t="str">
        <x:v>rate</x:v>
      </x:c>
      <x:c r="L639" s="5" t="str">
        <x:v>Correct / {Correct,Partially Correct,Incorrect}; insufficient and uncertain excluded; same-model Silver</x:v>
      </x:c>
    </x:row>
    <x:row r="640" ht="20" hidden="0" customHeight="1">
      <x:c r="A640" s="5" t="str">
        <x:v>paired_ablation</x:v>
      </x:c>
      <x:c r="B640" s="5" t="str">
        <x:v>holdout</x:v>
      </x:c>
      <x:c r="C640" s="5" t="str">
        <x:v>D3_FULL</x:v>
      </x:c>
      <x:c r="D640" s="5" t="str">
        <x:v>materials_partially_correct_rate</x:v>
      </x:c>
      <x:c r="E640" s="5" t="n">
        <x:v>5</x:v>
      </x:c>
      <x:c r="F640" s="5" t="n">
        <x:v>18</x:v>
      </x:c>
      <x:c r="G640" s="10" t="n">
        <x:f>IF(COUNTBLANK(E640:F640)&gt;0,"N/A",IF(F640=0,"N/A",E640/F640))</x:f>
        <x:v>0.2777777777777778</x:v>
      </x:c>
      <x:c r="H640" s="5" t="str">
        <x:v>Silver</x:v>
      </x:c>
      <x:c r="I640" s="5" t="n">
        <x:v>39</x:v>
      </x:c>
      <x:c r="J640" s="5" t="n">
        <x:v>21</x:v>
      </x:c>
      <x:c r="K640" s="5" t="str">
        <x:v>rate</x:v>
      </x:c>
      <x:c r="L640" s="5" t="str"/>
    </x:row>
    <x:row r="641" ht="20" hidden="0" customHeight="1">
      <x:c r="A641" s="5" t="str">
        <x:v>paired_ablation</x:v>
      </x:c>
      <x:c r="B641" s="5" t="str">
        <x:v>holdout</x:v>
      </x:c>
      <x:c r="C641" s="5" t="str">
        <x:v>D3_FULL</x:v>
      </x:c>
      <x:c r="D641" s="5" t="str">
        <x:v>process_method_correct_rate</x:v>
      </x:c>
      <x:c r="E641" s="5" t="n">
        <x:v>14</x:v>
      </x:c>
      <x:c r="F641" s="5" t="n">
        <x:v>16</x:v>
      </x:c>
      <x:c r="G641" s="10" t="n">
        <x:f>IF(COUNTBLANK(E641:F641)&gt;0,"N/A",IF(F641=0,"N/A",E641/F641))</x:f>
        <x:v>0.875</x:v>
      </x:c>
      <x:c r="H641" s="5" t="str">
        <x:v>Silver</x:v>
      </x:c>
      <x:c r="I641" s="5" t="n">
        <x:v>39</x:v>
      </x:c>
      <x:c r="J641" s="5" t="n">
        <x:v>23</x:v>
      </x:c>
      <x:c r="K641" s="5" t="str">
        <x:v>rate</x:v>
      </x:c>
      <x:c r="L641" s="5" t="str">
        <x:v>Correct / {Correct,Partially Correct,Incorrect}; insufficient and uncertain excluded; same-model Silver</x:v>
      </x:c>
    </x:row>
    <x:row r="642" ht="20" hidden="0" customHeight="1">
      <x:c r="A642" s="5" t="str">
        <x:v>paired_ablation</x:v>
      </x:c>
      <x:c r="B642" s="5" t="str">
        <x:v>holdout</x:v>
      </x:c>
      <x:c r="C642" s="5" t="str">
        <x:v>D3_FULL</x:v>
      </x:c>
      <x:c r="D642" s="5" t="str">
        <x:v>process_method_partially_correct_rate</x:v>
      </x:c>
      <x:c r="E642" s="5" t="n">
        <x:v>2</x:v>
      </x:c>
      <x:c r="F642" s="5" t="n">
        <x:v>16</x:v>
      </x:c>
      <x:c r="G642" s="10" t="n">
        <x:f>IF(COUNTBLANK(E642:F642)&gt;0,"N/A",IF(F642=0,"N/A",E642/F642))</x:f>
        <x:v>0.125</x:v>
      </x:c>
      <x:c r="H642" s="5" t="str">
        <x:v>Silver</x:v>
      </x:c>
      <x:c r="I642" s="5" t="n">
        <x:v>39</x:v>
      </x:c>
      <x:c r="J642" s="5" t="n">
        <x:v>23</x:v>
      </x:c>
      <x:c r="K642" s="5" t="str">
        <x:v>rate</x:v>
      </x:c>
      <x:c r="L642" s="5" t="str"/>
    </x:row>
    <x:row r="643" ht="20" hidden="0" customHeight="1">
      <x:c r="A643" s="5" t="str">
        <x:v>paired_ablation</x:v>
      </x:c>
      <x:c r="B643" s="5" t="str">
        <x:v>holdout</x:v>
      </x:c>
      <x:c r="C643" s="5" t="str">
        <x:v>D3_FULL</x:v>
      </x:c>
      <x:c r="D643" s="5" t="str">
        <x:v>process_order_correct_rate</x:v>
      </x:c>
      <x:c r="E643" s="5" t="n">
        <x:v>5</x:v>
      </x:c>
      <x:c r="F643" s="5" t="n">
        <x:v>9</x:v>
      </x:c>
      <x:c r="G643" s="10" t="n">
        <x:f>IF(COUNTBLANK(E643:F643)&gt;0,"N/A",IF(F643=0,"N/A",E643/F643))</x:f>
        <x:v>0.5555555555555556</x:v>
      </x:c>
      <x:c r="H643" s="5" t="str">
        <x:v>Silver</x:v>
      </x:c>
      <x:c r="I643" s="5" t="n">
        <x:v>39</x:v>
      </x:c>
      <x:c r="J643" s="5" t="n">
        <x:v>30</x:v>
      </x:c>
      <x:c r="K643" s="5" t="str">
        <x:v>rate</x:v>
      </x:c>
      <x:c r="L643" s="5" t="str">
        <x:v>Correct / {Correct,Partially Correct,Incorrect}; insufficient and uncertain excluded; same-model Silver</x:v>
      </x:c>
    </x:row>
    <x:row r="644" ht="20" hidden="0" customHeight="1">
      <x:c r="A644" s="5" t="str">
        <x:v>paired_ablation</x:v>
      </x:c>
      <x:c r="B644" s="5" t="str">
        <x:v>holdout</x:v>
      </x:c>
      <x:c r="C644" s="5" t="str">
        <x:v>D3_FULL</x:v>
      </x:c>
      <x:c r="D644" s="5" t="str">
        <x:v>process_order_partially_correct_rate</x:v>
      </x:c>
      <x:c r="E644" s="5" t="n">
        <x:v>4</x:v>
      </x:c>
      <x:c r="F644" s="5" t="n">
        <x:v>9</x:v>
      </x:c>
      <x:c r="G644" s="10" t="n">
        <x:f>IF(COUNTBLANK(E644:F644)&gt;0,"N/A",IF(F644=0,"N/A",E644/F644))</x:f>
        <x:v>0.4444444444444444</x:v>
      </x:c>
      <x:c r="H644" s="5" t="str">
        <x:v>Silver</x:v>
      </x:c>
      <x:c r="I644" s="5" t="n">
        <x:v>39</x:v>
      </x:c>
      <x:c r="J644" s="5" t="n">
        <x:v>30</x:v>
      </x:c>
      <x:c r="K644" s="5" t="str">
        <x:v>rate</x:v>
      </x:c>
      <x:c r="L644" s="5" t="str"/>
    </x:row>
    <x:row r="645" ht="20" hidden="0" customHeight="1">
      <x:c r="A645" s="5" t="str">
        <x:v>paired_ablation</x:v>
      </x:c>
      <x:c r="B645" s="5" t="str">
        <x:v>holdout</x:v>
      </x:c>
      <x:c r="C645" s="5" t="str">
        <x:v>D3_FULL</x:v>
      </x:c>
      <x:c r="D645" s="5" t="str">
        <x:v>parameters_correct_rate</x:v>
      </x:c>
      <x:c r="E645" s="5" t="n">
        <x:v>7</x:v>
      </x:c>
      <x:c r="F645" s="5" t="n">
        <x:v>12</x:v>
      </x:c>
      <x:c r="G645" s="10" t="n">
        <x:f>IF(COUNTBLANK(E645:F645)&gt;0,"N/A",IF(F645=0,"N/A",E645/F645))</x:f>
        <x:v>0.5833333333333334</x:v>
      </x:c>
      <x:c r="H645" s="5" t="str">
        <x:v>Silver</x:v>
      </x:c>
      <x:c r="I645" s="5" t="n">
        <x:v>39</x:v>
      </x:c>
      <x:c r="J645" s="5" t="n">
        <x:v>27</x:v>
      </x:c>
      <x:c r="K645" s="5" t="str">
        <x:v>rate</x:v>
      </x:c>
      <x:c r="L645" s="5" t="str">
        <x:v>Correct / {Correct,Partially Correct,Incorrect}; insufficient and uncertain excluded; same-model Silver</x:v>
      </x:c>
    </x:row>
    <x:row r="646" ht="20" hidden="0" customHeight="1">
      <x:c r="A646" s="5" t="str">
        <x:v>paired_ablation</x:v>
      </x:c>
      <x:c r="B646" s="5" t="str">
        <x:v>holdout</x:v>
      </x:c>
      <x:c r="C646" s="5" t="str">
        <x:v>D3_FULL</x:v>
      </x:c>
      <x:c r="D646" s="5" t="str">
        <x:v>parameters_partially_correct_rate</x:v>
      </x:c>
      <x:c r="E646" s="5" t="n">
        <x:v>5</x:v>
      </x:c>
      <x:c r="F646" s="5" t="n">
        <x:v>12</x:v>
      </x:c>
      <x:c r="G646" s="10" t="n">
        <x:f>IF(COUNTBLANK(E646:F646)&gt;0,"N/A",IF(F646=0,"N/A",E646/F646))</x:f>
        <x:v>0.4166666666666667</x:v>
      </x:c>
      <x:c r="H646" s="5" t="str">
        <x:v>Silver</x:v>
      </x:c>
      <x:c r="I646" s="5" t="n">
        <x:v>39</x:v>
      </x:c>
      <x:c r="J646" s="5" t="n">
        <x:v>27</x:v>
      </x:c>
      <x:c r="K646" s="5" t="str">
        <x:v>rate</x:v>
      </x:c>
      <x:c r="L646" s="5" t="str"/>
    </x:row>
    <x:row r="647" ht="20" hidden="0" customHeight="1">
      <x:c r="A647" s="5" t="str">
        <x:v>paired_ablation</x:v>
      </x:c>
      <x:c r="B647" s="5" t="str">
        <x:v>holdout</x:v>
      </x:c>
      <x:c r="C647" s="5" t="str">
        <x:v>D3_FULL</x:v>
      </x:c>
      <x:c r="D647" s="5" t="str">
        <x:v>effects_correct_rate</x:v>
      </x:c>
      <x:c r="E647" s="5" t="n">
        <x:v>19</x:v>
      </x:c>
      <x:c r="F647" s="5" t="n">
        <x:v>19</x:v>
      </x:c>
      <x:c r="G647" s="10" t="n">
        <x:f>IF(COUNTBLANK(E647:F647)&gt;0,"N/A",IF(F647=0,"N/A",E647/F647))</x:f>
        <x:v>1</x:v>
      </x:c>
      <x:c r="H647" s="5" t="str">
        <x:v>Silver</x:v>
      </x:c>
      <x:c r="I647" s="5" t="n">
        <x:v>39</x:v>
      </x:c>
      <x:c r="J647" s="5" t="n">
        <x:v>20</x:v>
      </x:c>
      <x:c r="K647" s="5" t="str">
        <x:v>rate</x:v>
      </x:c>
      <x:c r="L647" s="5" t="str">
        <x:v>Correct / {Correct,Partially Correct,Incorrect}; insufficient and uncertain excluded; same-model Silver</x:v>
      </x:c>
    </x:row>
    <x:row r="648" ht="20" hidden="0" customHeight="1">
      <x:c r="A648" s="5" t="str">
        <x:v>paired_ablation</x:v>
      </x:c>
      <x:c r="B648" s="5" t="str">
        <x:v>holdout</x:v>
      </x:c>
      <x:c r="C648" s="5" t="str">
        <x:v>D3_FULL</x:v>
      </x:c>
      <x:c r="D648" s="5" t="str">
        <x:v>effects_partially_correct_rate</x:v>
      </x:c>
      <x:c r="E648" s="5" t="n">
        <x:v>0</x:v>
      </x:c>
      <x:c r="F648" s="5" t="n">
        <x:v>19</x:v>
      </x:c>
      <x:c r="G648" s="10" t="n">
        <x:f>IF(COUNTBLANK(E648:F648)&gt;0,"N/A",IF(F648=0,"N/A",E648/F648))</x:f>
        <x:v>0</x:v>
      </x:c>
      <x:c r="H648" s="5" t="str">
        <x:v>Silver</x:v>
      </x:c>
      <x:c r="I648" s="5" t="n">
        <x:v>39</x:v>
      </x:c>
      <x:c r="J648" s="5" t="n">
        <x:v>20</x:v>
      </x:c>
      <x:c r="K648" s="5" t="str">
        <x:v>rate</x:v>
      </x:c>
      <x:c r="L648" s="5" t="str"/>
    </x:row>
    <x:row r="649" ht="20" hidden="0" customHeight="1">
      <x:c r="A649" s="5" t="str">
        <x:v>paired_ablation</x:v>
      </x:c>
      <x:c r="B649" s="5" t="str">
        <x:v>holdout</x:v>
      </x:c>
      <x:c r="C649" s="5" t="str">
        <x:v>D3_FULL</x:v>
      </x:c>
      <x:c r="D649" s="5" t="str">
        <x:v>multiple_contributions_correct_rate</x:v>
      </x:c>
      <x:c r="E649" s="5" t="n">
        <x:v>24</x:v>
      </x:c>
      <x:c r="F649" s="5" t="n">
        <x:v>28</x:v>
      </x:c>
      <x:c r="G649" s="10" t="n">
        <x:f>IF(COUNTBLANK(E649:F649)&gt;0,"N/A",IF(F649=0,"N/A",E649/F649))</x:f>
        <x:v>0.8571428571428571</x:v>
      </x:c>
      <x:c r="H649" s="5" t="str">
        <x:v>Silver</x:v>
      </x:c>
      <x:c r="I649" s="5" t="n">
        <x:v>39</x:v>
      </x:c>
      <x:c r="J649" s="5" t="n">
        <x:v>11</x:v>
      </x:c>
      <x:c r="K649" s="5" t="str">
        <x:v>rate</x:v>
      </x:c>
      <x:c r="L649" s="5" t="str">
        <x:v>Correct / {Correct,Partially Correct,Incorrect}; insufficient and uncertain excluded; same-model Silver</x:v>
      </x:c>
    </x:row>
    <x:row r="650" ht="20" hidden="0" customHeight="1">
      <x:c r="A650" s="5" t="str">
        <x:v>paired_ablation</x:v>
      </x:c>
      <x:c r="B650" s="5" t="str">
        <x:v>holdout</x:v>
      </x:c>
      <x:c r="C650" s="5" t="str">
        <x:v>D3_FULL</x:v>
      </x:c>
      <x:c r="D650" s="5" t="str">
        <x:v>multiple_contributions_partially_correct_rate</x:v>
      </x:c>
      <x:c r="E650" s="5" t="n">
        <x:v>3</x:v>
      </x:c>
      <x:c r="F650" s="5" t="n">
        <x:v>28</x:v>
      </x:c>
      <x:c r="G650" s="10" t="n">
        <x:f>IF(COUNTBLANK(E650:F650)&gt;0,"N/A",IF(F650=0,"N/A",E650/F650))</x:f>
        <x:v>0.10714285714285714</x:v>
      </x:c>
      <x:c r="H650" s="5" t="str">
        <x:v>Silver</x:v>
      </x:c>
      <x:c r="I650" s="5" t="n">
        <x:v>39</x:v>
      </x:c>
      <x:c r="J650" s="5" t="n">
        <x:v>11</x:v>
      </x:c>
      <x:c r="K650" s="5" t="str">
        <x:v>rate</x:v>
      </x:c>
      <x:c r="L650" s="5" t="str"/>
    </x:row>
    <x:row r="651" ht="20" hidden="0" customHeight="1">
      <x:c r="A651" s="5" t="str">
        <x:v>paired_ablation</x:v>
      </x:c>
      <x:c r="B651" s="5" t="str">
        <x:v>holdout</x:v>
      </x:c>
      <x:c r="C651" s="5" t="str">
        <x:v>D3_FULL</x:v>
      </x:c>
      <x:c r="D651" s="5" t="str">
        <x:v>hallucination_correct_rate</x:v>
      </x:c>
      <x:c r="E651" s="5" t="n">
        <x:v>39</x:v>
      </x:c>
      <x:c r="F651" s="5" t="n">
        <x:v>39</x:v>
      </x:c>
      <x:c r="G651" s="10" t="n">
        <x:f>IF(COUNTBLANK(E651:F651)&gt;0,"N/A",IF(F651=0,"N/A",E651/F651))</x:f>
        <x:v>1</x:v>
      </x:c>
      <x:c r="H651" s="5" t="str">
        <x:v>Silver</x:v>
      </x:c>
      <x:c r="I651" s="5" t="n">
        <x:v>39</x:v>
      </x:c>
      <x:c r="J651" s="5" t="n">
        <x:v>0</x:v>
      </x:c>
      <x:c r="K651" s="5" t="str">
        <x:v>rate</x:v>
      </x:c>
      <x:c r="L651" s="5" t="str">
        <x:v>Correct / {Correct,Partially Correct,Incorrect}; insufficient and uncertain excluded; same-model Silver</x:v>
      </x:c>
    </x:row>
    <x:row r="652" ht="20" hidden="0" customHeight="1">
      <x:c r="A652" s="5" t="str">
        <x:v>paired_ablation</x:v>
      </x:c>
      <x:c r="B652" s="5" t="str">
        <x:v>holdout</x:v>
      </x:c>
      <x:c r="C652" s="5" t="str">
        <x:v>D3_FULL</x:v>
      </x:c>
      <x:c r="D652" s="5" t="str">
        <x:v>hallucination_partially_correct_rate</x:v>
      </x:c>
      <x:c r="E652" s="5" t="n">
        <x:v>0</x:v>
      </x:c>
      <x:c r="F652" s="5" t="n">
        <x:v>39</x:v>
      </x:c>
      <x:c r="G652" s="10" t="n">
        <x:f>IF(COUNTBLANK(E652:F652)&gt;0,"N/A",IF(F652=0,"N/A",E652/F652))</x:f>
        <x:v>0</x:v>
      </x:c>
      <x:c r="H652" s="5" t="str">
        <x:v>Silver</x:v>
      </x:c>
      <x:c r="I652" s="5" t="n">
        <x:v>39</x:v>
      </x:c>
      <x:c r="J652" s="5" t="n">
        <x:v>0</x:v>
      </x:c>
      <x:c r="K652" s="5" t="str">
        <x:v>rate</x:v>
      </x:c>
      <x:c r="L652" s="5" t="str"/>
    </x:row>
    <x:row r="653" ht="31" hidden="0" customHeight="1">
      <x:c r="A653" s="5" t="str">
        <x:v>paired_ablation</x:v>
      </x:c>
      <x:c r="B653" s="5" t="str">
        <x:v>holdout</x:v>
      </x:c>
      <x:c r="C653" s="5" t="str">
        <x:v>D3_FULL</x:v>
      </x:c>
      <x:c r="D653" s="5" t="str">
        <x:v>contribution_coverage</x:v>
      </x:c>
      <x:c r="E653" s="5" t="n">
        <x:v>28</x:v>
      </x:c>
      <x:c r="F653" s="5" t="n">
        <x:v>36</x:v>
      </x:c>
      <x:c r="G653" s="10" t="n">
        <x:f>IF(COUNTBLANK(E653:F653)&gt;0,"N/A",IF(F653=0,"N/A",E653/F653))</x:f>
        <x:v>0.7777777777777778</x:v>
      </x:c>
      <x:c r="H653" s="5" t="str">
        <x:v>Silver</x:v>
      </x:c>
      <x:c r="I653" s="5" t="n">
        <x:v>39</x:v>
      </x:c>
      <x:c r="J653" s="5" t="n">
        <x:v>9</x:v>
      </x:c>
      <x:c r="K653" s="5" t="str">
        <x:v>rate</x:v>
      </x:c>
      <x:c r="L653" s="5" t="str">
        <x:v>Source-reference denominators required consistent across matched configs; disagreements/zero applicability excluded</x:v>
      </x:c>
    </x:row>
    <x:row r="654" ht="31" hidden="0" customHeight="1">
      <x:c r="A654" s="5" t="str">
        <x:v>paired_ablation</x:v>
      </x:c>
      <x:c r="B654" s="5" t="str">
        <x:v>holdout</x:v>
      </x:c>
      <x:c r="C654" s="5" t="str">
        <x:v>D3_FULL</x:v>
      </x:c>
      <x:c r="D654" s="5" t="str">
        <x:v>material_retention</x:v>
      </x:c>
      <x:c r="E654" s="5" t="n">
        <x:v>27</x:v>
      </x:c>
      <x:c r="F654" s="5" t="n">
        <x:v>27</x:v>
      </x:c>
      <x:c r="G654" s="10" t="n">
        <x:f>IF(COUNTBLANK(E654:F654)&gt;0,"N/A",IF(F654=0,"N/A",E654/F654))</x:f>
        <x:v>1</x:v>
      </x:c>
      <x:c r="H654" s="5" t="str">
        <x:v>Silver</x:v>
      </x:c>
      <x:c r="I654" s="5" t="n">
        <x:v>39</x:v>
      </x:c>
      <x:c r="J654" s="5" t="n">
        <x:v>27</x:v>
      </x:c>
      <x:c r="K654" s="5" t="str">
        <x:v>rate</x:v>
      </x:c>
      <x:c r="L654" s="5" t="str">
        <x:v>Source-reference denominators required consistent across matched configs; disagreements/zero applicability excluded</x:v>
      </x:c>
    </x:row>
    <x:row r="655" ht="31" hidden="0" customHeight="1">
      <x:c r="A655" s="5" t="str">
        <x:v>paired_ablation</x:v>
      </x:c>
      <x:c r="B655" s="5" t="str">
        <x:v>holdout</x:v>
      </x:c>
      <x:c r="C655" s="5" t="str">
        <x:v>D3_FULL</x:v>
      </x:c>
      <x:c r="D655" s="5" t="str">
        <x:v>process_retention</x:v>
      </x:c>
      <x:c r="E655" s="5" t="n">
        <x:v>49</x:v>
      </x:c>
      <x:c r="F655" s="5" t="n">
        <x:v>49</x:v>
      </x:c>
      <x:c r="G655" s="10" t="n">
        <x:f>IF(COUNTBLANK(E655:F655)&gt;0,"N/A",IF(F655=0,"N/A",E655/F655))</x:f>
        <x:v>1</x:v>
      </x:c>
      <x:c r="H655" s="5" t="str">
        <x:v>Silver</x:v>
      </x:c>
      <x:c r="I655" s="5" t="n">
        <x:v>39</x:v>
      </x:c>
      <x:c r="J655" s="5" t="n">
        <x:v>25</x:v>
      </x:c>
      <x:c r="K655" s="5" t="str">
        <x:v>rate</x:v>
      </x:c>
      <x:c r="L655" s="5" t="str">
        <x:v>Source-reference denominators required consistent across matched configs; disagreements/zero applicability excluded</x:v>
      </x:c>
    </x:row>
    <x:row r="656" ht="20" hidden="0" customHeight="1">
      <x:c r="A656" s="5" t="str">
        <x:v>paired_ablation</x:v>
      </x:c>
      <x:c r="B656" s="5" t="str">
        <x:v>holdout</x:v>
      </x:c>
      <x:c r="C656" s="5" t="str">
        <x:v>D3_FULL</x:v>
      </x:c>
      <x:c r="D656" s="5" t="str">
        <x:v>multi_contribution_omission_rate</x:v>
      </x:c>
      <x:c r="E656" s="5" t="n">
        <x:v>1</x:v>
      </x:c>
      <x:c r="F656" s="5" t="n">
        <x:v>4</x:v>
      </x:c>
      <x:c r="G656" s="10" t="n">
        <x:f>IF(COUNTBLANK(E656:F656)&gt;0,"N/A",IF(F656=0,"N/A",E656/F656))</x:f>
        <x:v>0.25</x:v>
      </x:c>
      <x:c r="H656" s="5" t="str">
        <x:v>Silver</x:v>
      </x:c>
      <x:c r="I656" s="5" t="n">
        <x:v>39</x:v>
      </x:c>
      <x:c r="J656" s="5" t="n">
        <x:v>35</x:v>
      </x:c>
      <x:c r="K656" s="5" t="str">
        <x:v>rate</x:v>
      </x:c>
      <x:c r="L656" s="5" t="str"/>
    </x:row>
    <x:row r="657" ht="20" hidden="0" customHeight="1">
      <x:c r="A657" s="5" t="str">
        <x:v>paired_ablation</x:v>
      </x:c>
      <x:c r="B657" s="5" t="str">
        <x:v>holdout</x:v>
      </x:c>
      <x:c r="C657" s="5" t="str">
        <x:v>D3_FULL</x:v>
      </x:c>
      <x:c r="D657" s="5" t="str">
        <x:v>full_conclusion_support_rate</x:v>
      </x:c>
      <x:c r="E657" s="5" t="n">
        <x:v>24</x:v>
      </x:c>
      <x:c r="F657" s="5" t="n">
        <x:v>24</x:v>
      </x:c>
      <x:c r="G657" s="10" t="n">
        <x:f>IF(COUNTBLANK(E657:F657)&gt;0,"N/A",IF(F657=0,"N/A",E657/F657))</x:f>
        <x:v>1</x:v>
      </x:c>
      <x:c r="H657" s="5" t="str">
        <x:v>Silver</x:v>
      </x:c>
      <x:c r="I657" s="5" t="n">
        <x:v>39</x:v>
      </x:c>
      <x:c r="J657" s="5" t="n">
        <x:v>15</x:v>
      </x:c>
      <x:c r="K657" s="5" t="str">
        <x:v>rate</x:v>
      </x:c>
      <x:c r="L657" s="5" t="str"/>
    </x:row>
    <x:row r="658" ht="20" hidden="0" customHeight="1">
      <x:c r="A658" s="5" t="str">
        <x:v>paired_ablation</x:v>
      </x:c>
      <x:c r="B658" s="5" t="str">
        <x:v>holdout</x:v>
      </x:c>
      <x:c r="C658" s="5" t="str">
        <x:v>D3_FULL</x:v>
      </x:c>
      <x:c r="D658" s="5" t="str">
        <x:v>mean_contributions_per_family</x:v>
      </x:c>
      <x:c r="E658" s="5" t="n">
        <x:v>29</x:v>
      </x:c>
      <x:c r="F658" s="5" t="n">
        <x:v>39</x:v>
      </x:c>
      <x:c r="G658" s="11" t="n">
        <x:f>IF(COUNTBLANK(E658:F658)&gt;0,"N/A",IF(F658=0,"N/A",E658/F658))</x:f>
        <x:v>0.7435897435897436</x:v>
      </x:c>
      <x:c r="H658" s="5" t="str">
        <x:v>Silver</x:v>
      </x:c>
      <x:c r="I658" s="5" t="n">
        <x:v>39</x:v>
      </x:c>
      <x:c r="J658" s="5" t="n">
        <x:v>0</x:v>
      </x:c>
      <x:c r="K658" s="5" t="str">
        <x:v>contributions/family</x:v>
      </x:c>
      <x:c r="L658" s="5" t="str"/>
    </x:row>
    <x:row r="659" ht="20" hidden="0" customHeight="1">
      <x:c r="A659" s="5" t="str">
        <x:v>paired_ablation</x:v>
      </x:c>
      <x:c r="B659" s="5" t="str">
        <x:v>holdout</x:v>
      </x:c>
      <x:c r="C659" s="5" t="str">
        <x:v>D3_FULL</x:v>
      </x:c>
      <x:c r="D659" s="5" t="str">
        <x:v>oversplit_contribution_rate</x:v>
      </x:c>
      <x:c r="E659" s="5" t="n">
        <x:v>2</x:v>
      </x:c>
      <x:c r="F659" s="5" t="n">
        <x:v>29</x:v>
      </x:c>
      <x:c r="G659" s="10" t="n">
        <x:f>IF(COUNTBLANK(E659:F659)&gt;0,"N/A",IF(F659=0,"N/A",E659/F659))</x:f>
        <x:v>0.06896551724137931</x:v>
      </x:c>
      <x:c r="H659" s="5" t="str">
        <x:v>Silver</x:v>
      </x:c>
      <x:c r="I659" s="5" t="n">
        <x:v>39</x:v>
      </x:c>
      <x:c r="J659" s="5" t="n">
        <x:v>0</x:v>
      </x:c>
      <x:c r="K659" s="5" t="str">
        <x:v>rate</x:v>
      </x:c>
      <x:c r="L659" s="5" t="str">
        <x:v>Auditor oversplit units / actual explicit output units; not a human error rate</x:v>
      </x:c>
    </x:row>
    <x:row r="660" ht="20" hidden="0" customHeight="1">
      <x:c r="A660" s="5" t="str">
        <x:v>paired_ablation</x:v>
      </x:c>
      <x:c r="B660" s="5" t="str">
        <x:v>holdout</x:v>
      </x:c>
      <x:c r="C660" s="5" t="str">
        <x:v>D3_FULL</x:v>
      </x:c>
      <x:c r="D660" s="5" t="str">
        <x:v>hallucinated_contribution_rate</x:v>
      </x:c>
      <x:c r="E660" s="5" t="n">
        <x:v>0</x:v>
      </x:c>
      <x:c r="F660" s="5" t="n">
        <x:v>29</x:v>
      </x:c>
      <x:c r="G660" s="10" t="n">
        <x:f>IF(COUNTBLANK(E660:F660)&gt;0,"N/A",IF(F660=0,"N/A",E660/F660))</x:f>
        <x:v>0</x:v>
      </x:c>
      <x:c r="H660" s="5" t="str">
        <x:v>Silver</x:v>
      </x:c>
      <x:c r="I660" s="5" t="n">
        <x:v>39</x:v>
      </x:c>
      <x:c r="J660" s="5" t="n">
        <x:v>0</x:v>
      </x:c>
      <x:c r="K660" s="5" t="str">
        <x:v>rate</x:v>
      </x:c>
      <x:c r="L660" s="5" t="str"/>
    </x:row>
    <x:row r="661" ht="20" hidden="0" customHeight="1">
      <x:c r="A661" s="5" t="str">
        <x:v>paired_ablation</x:v>
      </x:c>
      <x:c r="B661" s="5" t="str">
        <x:v>holdout</x:v>
      </x:c>
      <x:c r="C661" s="5" t="str">
        <x:v>D3_FULL</x:v>
      </x:c>
      <x:c r="D661" s="5" t="str">
        <x:v>technical_mechanism_gold_accuracy</x:v>
      </x:c>
      <x:c r="E661" s="5"/>
      <x:c r="F661" s="5"/>
      <x:c r="G661" s="10" t="str">
        <x:f>IF(COUNTBLANK(E661:F661)&gt;0,"N/A",IF(F661=0,"N/A",E661/F661))</x:f>
        <x:v>N/A</x:v>
      </x:c>
      <x:c r="H661" s="5" t="str">
        <x:v>Gold</x:v>
      </x:c>
      <x:c r="I661" s="5" t="n">
        <x:v>0</x:v>
      </x:c>
      <x:c r="J661" s="5" t="n">
        <x:v>0</x:v>
      </x:c>
      <x:c r="K661" s="5" t="str">
        <x:v>rate</x:v>
      </x:c>
      <x:c r="L661" s="5" t="str">
        <x:v>N/A: zero independent human Gold labels; AI must not be promoted to human truth</x:v>
      </x:c>
    </x:row>
    <x:row r="662" ht="20" hidden="0" customHeight="1">
      <x:c r="A662" s="5" t="str">
        <x:v>paired_ablation</x:v>
      </x:c>
      <x:c r="B662" s="5" t="str">
        <x:v>holdout</x:v>
      </x:c>
      <x:c r="C662" s="5" t="str">
        <x:v>D3_FULL</x:v>
      </x:c>
      <x:c r="D662" s="5" t="str">
        <x:v>materials_gold_accuracy</x:v>
      </x:c>
      <x:c r="E662" s="5"/>
      <x:c r="F662" s="5"/>
      <x:c r="G662" s="10" t="str">
        <x:f>IF(COUNTBLANK(E662:F662)&gt;0,"N/A",IF(F662=0,"N/A",E662/F662))</x:f>
        <x:v>N/A</x:v>
      </x:c>
      <x:c r="H662" s="5" t="str">
        <x:v>Gold</x:v>
      </x:c>
      <x:c r="I662" s="5" t="n">
        <x:v>0</x:v>
      </x:c>
      <x:c r="J662" s="5" t="n">
        <x:v>0</x:v>
      </x:c>
      <x:c r="K662" s="5" t="str">
        <x:v>rate</x:v>
      </x:c>
      <x:c r="L662" s="5" t="str">
        <x:v>N/A: zero independent human Gold labels; AI must not be promoted to human truth</x:v>
      </x:c>
    </x:row>
    <x:row r="663" ht="20" hidden="0" customHeight="1">
      <x:c r="A663" s="5" t="str">
        <x:v>paired_ablation</x:v>
      </x:c>
      <x:c r="B663" s="5" t="str">
        <x:v>holdout</x:v>
      </x:c>
      <x:c r="C663" s="5" t="str">
        <x:v>D3_FULL</x:v>
      </x:c>
      <x:c r="D663" s="5" t="str">
        <x:v>process_method_gold_accuracy</x:v>
      </x:c>
      <x:c r="E663" s="5"/>
      <x:c r="F663" s="5"/>
      <x:c r="G663" s="10" t="str">
        <x:f>IF(COUNTBLANK(E663:F663)&gt;0,"N/A",IF(F663=0,"N/A",E663/F663))</x:f>
        <x:v>N/A</x:v>
      </x:c>
      <x:c r="H663" s="5" t="str">
        <x:v>Gold</x:v>
      </x:c>
      <x:c r="I663" s="5" t="n">
        <x:v>0</x:v>
      </x:c>
      <x:c r="J663" s="5" t="n">
        <x:v>0</x:v>
      </x:c>
      <x:c r="K663" s="5" t="str">
        <x:v>rate</x:v>
      </x:c>
      <x:c r="L663" s="5" t="str">
        <x:v>N/A: zero independent human Gold labels; AI must not be promoted to human truth</x:v>
      </x:c>
    </x:row>
    <x:row r="664" ht="20" hidden="0" customHeight="1">
      <x:c r="A664" s="5" t="str">
        <x:v>paired_ablation</x:v>
      </x:c>
      <x:c r="B664" s="5" t="str">
        <x:v>holdout</x:v>
      </x:c>
      <x:c r="C664" s="5" t="str">
        <x:v>D3_FULL</x:v>
      </x:c>
      <x:c r="D664" s="5" t="str">
        <x:v>parameters_gold_accuracy</x:v>
      </x:c>
      <x:c r="E664" s="5"/>
      <x:c r="F664" s="5"/>
      <x:c r="G664" s="10" t="str">
        <x:f>IF(COUNTBLANK(E664:F664)&gt;0,"N/A",IF(F664=0,"N/A",E664/F664))</x:f>
        <x:v>N/A</x:v>
      </x:c>
      <x:c r="H664" s="5" t="str">
        <x:v>Gold</x:v>
      </x:c>
      <x:c r="I664" s="5" t="n">
        <x:v>0</x:v>
      </x:c>
      <x:c r="J664" s="5" t="n">
        <x:v>0</x:v>
      </x:c>
      <x:c r="K664" s="5" t="str">
        <x:v>rate</x:v>
      </x:c>
      <x:c r="L664" s="5" t="str">
        <x:v>N/A: zero independent human Gold labels; AI must not be promoted to human truth</x:v>
      </x:c>
    </x:row>
    <x:row r="665" ht="20" hidden="0" customHeight="1">
      <x:c r="A665" s="5" t="str">
        <x:v>paired_ablation</x:v>
      </x:c>
      <x:c r="B665" s="5" t="str">
        <x:v>holdout</x:v>
      </x:c>
      <x:c r="C665" s="5" t="str">
        <x:v>D3_FULL</x:v>
      </x:c>
      <x:c r="D665" s="5" t="str">
        <x:v>multiple_contributions_gold_accuracy</x:v>
      </x:c>
      <x:c r="E665" s="5"/>
      <x:c r="F665" s="5"/>
      <x:c r="G665" s="10" t="str">
        <x:f>IF(COUNTBLANK(E665:F665)&gt;0,"N/A",IF(F665=0,"N/A",E665/F665))</x:f>
        <x:v>N/A</x:v>
      </x:c>
      <x:c r="H665" s="5" t="str">
        <x:v>Gold</x:v>
      </x:c>
      <x:c r="I665" s="5" t="n">
        <x:v>0</x:v>
      </x:c>
      <x:c r="J665" s="5" t="n">
        <x:v>0</x:v>
      </x:c>
      <x:c r="K665" s="5" t="str">
        <x:v>rate</x:v>
      </x:c>
      <x:c r="L665" s="5" t="str">
        <x:v>N/A: zero independent human Gold labels; AI must not be promoted to human truth</x:v>
      </x:c>
    </x:row>
    <x:row r="666" ht="31" hidden="0" customHeight="1">
      <x:c r="A666" s="5" t="str">
        <x:v>targeted_relevance_nodes</x:v>
      </x:c>
      <x:c r="B666" s="5" t="str">
        <x:v>postfreeze_audit</x:v>
      </x:c>
      <x:c r="C666" s="5" t="str">
        <x:v>D2_FINAL_SINGLE_LABEL</x:v>
      </x:c>
      <x:c r="D666" s="5" t="str">
        <x:v>unrelated_despite_engineering_reference</x:v>
      </x:c>
      <x:c r="E666" s="5" t="n">
        <x:v>44</x:v>
      </x:c>
      <x:c r="F666" s="5" t="n">
        <x:v>93</x:v>
      </x:c>
      <x:c r="G666" s="10" t="n">
        <x:f>IF(COUNTBLANK(E666:F666)&gt;0,"N/A",IF(F666=0,"N/A",E666/F666))</x:f>
        <x:v>0.4731182795698925</x:v>
      </x:c>
      <x:c r="H666" s="5" t="str">
        <x:v>Silver</x:v>
      </x:c>
      <x:c r="I666" s="5" t="n">
        <x:v>151</x:v>
      </x:c>
      <x:c r="J666" s="5" t="n">
        <x:v>0</x:v>
      </x:c>
      <x:c r="K666" s="5" t="str">
        <x:v>rate</x:v>
      </x:c>
      <x:c r="L666" s="5" t="str">
        <x:v>Node-level targeted sample; independent same-model Silver reference positive Direct/Manufacturing/Transferable; not full-corpus prevalence</x:v>
      </x:c>
    </x:row>
    <x:row r="667" ht="20" hidden="0" customHeight="1">
      <x:c r="A667" s="5" t="str">
        <x:v>targeted_relevance_nodes</x:v>
      </x:c>
      <x:c r="B667" s="5" t="str">
        <x:v>postfreeze_audit</x:v>
      </x:c>
      <x:c r="C667" s="5" t="str">
        <x:v>D2_FINAL_SINGLE_LABEL</x:v>
      </x:c>
      <x:c r="D667" s="5" t="str">
        <x:v>direct_false_discovery_rate</x:v>
      </x:c>
      <x:c r="E667" s="5" t="n">
        <x:v>8</x:v>
      </x:c>
      <x:c r="F667" s="5" t="n">
        <x:v>32</x:v>
      </x:c>
      <x:c r="G667" s="10" t="n">
        <x:f>IF(COUNTBLANK(E667:F667)&gt;0,"N/A",IF(F667=0,"N/A",E667/F667))</x:f>
        <x:v>0.25</x:v>
      </x:c>
      <x:c r="H667" s="5" t="str">
        <x:v>Silver</x:v>
      </x:c>
      <x:c r="I667" s="5" t="n">
        <x:v>151</x:v>
      </x:c>
      <x:c r="J667" s="5" t="n">
        <x:v>0</x:v>
      </x:c>
      <x:c r="K667" s="5" t="str">
        <x:v>rate</x:v>
      </x:c>
      <x:c r="L667" s="5" t="str">
        <x:v>Denominator predicted Direct with determinate Silver reference; includes category-scope disagreements</x:v>
      </x:c>
    </x:row>
    <x:row r="668" ht="31" hidden="0" customHeight="1">
      <x:c r="A668" s="5" t="str">
        <x:v>targeted_relevance_nodes</x:v>
      </x:c>
      <x:c r="B668" s="5" t="str">
        <x:v>postfreeze_audit</x:v>
      </x:c>
      <x:c r="C668" s="5" t="str">
        <x:v>D3_FROZEN_TWO_AXES</x:v>
      </x:c>
      <x:c r="D668" s="5" t="str">
        <x:v>axis_a_false_negative_rate</x:v>
      </x:c>
      <x:c r="E668" s="5" t="n">
        <x:v>9</x:v>
      </x:c>
      <x:c r="F668" s="5" t="n">
        <x:v>51</x:v>
      </x:c>
      <x:c r="G668" s="10" t="n">
        <x:f>IF(COUNTBLANK(E668:F668)&gt;0,"N/A",IF(F668=0,"N/A",E668/F668))</x:f>
        <x:v>0.17647058823529413</x:v>
      </x:c>
      <x:c r="H668" s="5" t="str">
        <x:v>Silver</x:v>
      </x:c>
      <x:c r="I668" s="5" t="n">
        <x:v>123</x:v>
      </x:c>
      <x:c r="J668" s="5" t="n">
        <x:v>0</x:v>
      </x:c>
      <x:c r="K668" s="5" t="str">
        <x:v>rate</x:v>
      </x:c>
      <x:c r="L668" s="5" t="str">
        <x:v>Single-family node and single D3 contribution only; frozen prediction vs separate node Silver audit; scopes can differ</x:v>
      </x:c>
    </x:row>
    <x:row r="669" ht="20" hidden="0" customHeight="1">
      <x:c r="A669" s="5" t="str">
        <x:v>targeted_relevance_nodes</x:v>
      </x:c>
      <x:c r="B669" s="5" t="str">
        <x:v>postfreeze_audit</x:v>
      </x:c>
      <x:c r="C669" s="5" t="str">
        <x:v>D3_FROZEN_TWO_AXES</x:v>
      </x:c>
      <x:c r="D669" s="5" t="str">
        <x:v>axis_a_false_positive_rate</x:v>
      </x:c>
      <x:c r="E669" s="5" t="n">
        <x:v>0</x:v>
      </x:c>
      <x:c r="F669" s="5" t="n">
        <x:v>72</x:v>
      </x:c>
      <x:c r="G669" s="10" t="n">
        <x:f>IF(COUNTBLANK(E669:F669)&gt;0,"N/A",IF(F669=0,"N/A",E669/F669))</x:f>
        <x:v>0</x:v>
      </x:c>
      <x:c r="H669" s="5" t="str">
        <x:v>Silver</x:v>
      </x:c>
      <x:c r="I669" s="5" t="n">
        <x:v>123</x:v>
      </x:c>
      <x:c r="J669" s="5" t="n">
        <x:v>0</x:v>
      </x:c>
      <x:c r="K669" s="5" t="str">
        <x:v>rate</x:v>
      </x:c>
      <x:c r="L669" s="5" t="str">
        <x:v>Reference negatives form denominator; uncertain reference excluded; no human Gold</x:v>
      </x:c>
    </x:row>
    <x:row r="670" ht="31" hidden="0" customHeight="1">
      <x:c r="A670" s="5" t="str">
        <x:v>targeted_relevance_nodes</x:v>
      </x:c>
      <x:c r="B670" s="5" t="str">
        <x:v>postfreeze_audit</x:v>
      </x:c>
      <x:c r="C670" s="5" t="str">
        <x:v>D3_FROZEN_TWO_AXES</x:v>
      </x:c>
      <x:c r="D670" s="5" t="str">
        <x:v>axis_b_false_negative_rate</x:v>
      </x:c>
      <x:c r="E670" s="5" t="n">
        <x:v>12</x:v>
      </x:c>
      <x:c r="F670" s="5" t="n">
        <x:v>83</x:v>
      </x:c>
      <x:c r="G670" s="10" t="n">
        <x:f>IF(COUNTBLANK(E670:F670)&gt;0,"N/A",IF(F670=0,"N/A",E670/F670))</x:f>
        <x:v>0.14457831325301204</x:v>
      </x:c>
      <x:c r="H670" s="5" t="str">
        <x:v>Silver</x:v>
      </x:c>
      <x:c r="I670" s="5" t="n">
        <x:v>123</x:v>
      </x:c>
      <x:c r="J670" s="5" t="n">
        <x:v>0</x:v>
      </x:c>
      <x:c r="K670" s="5" t="str">
        <x:v>rate</x:v>
      </x:c>
      <x:c r="L670" s="5" t="str">
        <x:v>Single-family node and single D3 contribution only; frozen prediction vs separate node Silver audit; scopes can differ</x:v>
      </x:c>
    </x:row>
    <x:row r="671" ht="20" hidden="0" customHeight="1">
      <x:c r="A671" s="5" t="str">
        <x:v>targeted_relevance_nodes</x:v>
      </x:c>
      <x:c r="B671" s="5" t="str">
        <x:v>postfreeze_audit</x:v>
      </x:c>
      <x:c r="C671" s="5" t="str">
        <x:v>D3_FROZEN_TWO_AXES</x:v>
      </x:c>
      <x:c r="D671" s="5" t="str">
        <x:v>axis_b_false_positive_rate</x:v>
      </x:c>
      <x:c r="E671" s="5" t="n">
        <x:v>0</x:v>
      </x:c>
      <x:c r="F671" s="5" t="n">
        <x:v>40</x:v>
      </x:c>
      <x:c r="G671" s="10" t="n">
        <x:f>IF(COUNTBLANK(E671:F671)&gt;0,"N/A",IF(F671=0,"N/A",E671/F671))</x:f>
        <x:v>0</x:v>
      </x:c>
      <x:c r="H671" s="5" t="str">
        <x:v>Silver</x:v>
      </x:c>
      <x:c r="I671" s="5" t="n">
        <x:v>123</x:v>
      </x:c>
      <x:c r="J671" s="5" t="n">
        <x:v>0</x:v>
      </x:c>
      <x:c r="K671" s="5" t="str">
        <x:v>rate</x:v>
      </x:c>
      <x:c r="L671" s="5" t="str">
        <x:v>Reference negatives form denominator; uncertain reference excluded; no human Gold</x:v>
      </x:c>
    </x:row>
    <x:row r="672" ht="20" hidden="0" customHeight="1">
      <x:c r="A672" s="5" t="str">
        <x:v>main_1117</x:v>
      </x:c>
      <x:c r="B672" s="5" t="str">
        <x:v>all</x:v>
      </x:c>
      <x:c r="C672" s="5" t="str">
        <x:v>D3_FULL</x:v>
      </x:c>
      <x:c r="D672" s="5" t="str">
        <x:v>processing_success_rate</x:v>
      </x:c>
      <x:c r="E672" s="5" t="n">
        <x:v>1098</x:v>
      </x:c>
      <x:c r="F672" s="5" t="n">
        <x:v>1117</x:v>
      </x:c>
      <x:c r="G672" s="10" t="n">
        <x:f>IF(COUNTBLANK(E672:F672)&gt;0,"N/A",IF(F672=0,"N/A",E672/F672))</x:f>
        <x:v>0.9829901521933752</x:v>
      </x:c>
      <x:c r="H672" s="5" t="str">
        <x:v>Automatic</x:v>
      </x:c>
      <x:c r="I672" s="5" t="n">
        <x:v>1117</x:v>
      </x:c>
      <x:c r="J672" s="5" t="n">
        <x:v>19</x:v>
      </x:c>
      <x:c r="K672" s="5" t="str">
        <x:v>rate</x:v>
      </x:c>
      <x:c r="L672" s="5" t="str">
        <x:v>Includes quarantined outputs; not semantic correctness</x:v>
      </x:c>
    </x:row>
    <x:row r="673" ht="20" hidden="0" customHeight="1">
      <x:c r="A673" s="5" t="str">
        <x:v>main_1117</x:v>
      </x:c>
      <x:c r="B673" s="5" t="str">
        <x:v>all</x:v>
      </x:c>
      <x:c r="C673" s="5" t="str">
        <x:v>D3_FULL</x:v>
      </x:c>
      <x:c r="D673" s="5" t="str">
        <x:v>quarantined_family_rate</x:v>
      </x:c>
      <x:c r="E673" s="5" t="n">
        <x:v>45</x:v>
      </x:c>
      <x:c r="F673" s="5" t="n">
        <x:v>1117</x:v>
      </x:c>
      <x:c r="G673" s="10" t="n">
        <x:f>IF(COUNTBLANK(E673:F673)&gt;0,"N/A",IF(F673=0,"N/A",E673/F673))</x:f>
        <x:v>0.04028648164726947</x:v>
      </x:c>
      <x:c r="H673" s="5" t="str">
        <x:v>Automatic</x:v>
      </x:c>
      <x:c r="I673" s="5" t="n">
        <x:v>1117</x:v>
      </x:c>
      <x:c r="J673" s="5" t="n">
        <x:v>19</x:v>
      </x:c>
      <x:c r="K673" s="5" t="str">
        <x:v>rate</x:v>
      </x:c>
      <x:c r="L673" s="5" t="str">
        <x:v>Original/modified output retained; not accepted as fully supported facts</x:v>
      </x:c>
    </x:row>
    <x:row r="674" ht="20" hidden="0" customHeight="1">
      <x:c r="A674" s="5" t="str">
        <x:v>main_1117</x:v>
      </x:c>
      <x:c r="B674" s="5" t="str">
        <x:v>all</x:v>
      </x:c>
      <x:c r="C674" s="5" t="str">
        <x:v>D3_FULL</x:v>
      </x:c>
      <x:c r="D674" s="5" t="str">
        <x:v>failure_rate</x:v>
      </x:c>
      <x:c r="E674" s="5" t="n">
        <x:v>19</x:v>
      </x:c>
      <x:c r="F674" s="5" t="n">
        <x:v>1117</x:v>
      </x:c>
      <x:c r="G674" s="10" t="n">
        <x:f>IF(COUNTBLANK(E674:F674)&gt;0,"N/A",IF(F674=0,"N/A",E674/F674))</x:f>
        <x:v>0.017009847806624886</x:v>
      </x:c>
      <x:c r="H674" s="5" t="str">
        <x:v>Automatic</x:v>
      </x:c>
      <x:c r="I674" s="5" t="n">
        <x:v>1117</x:v>
      </x:c>
      <x:c r="J674" s="5" t="n">
        <x:v>19</x:v>
      </x:c>
      <x:c r="K674" s="5" t="str">
        <x:v>rate</x:v>
      </x:c>
      <x:c r="L674" s="5" t="str"/>
    </x:row>
    <x:row r="675" ht="20" hidden="0" customHeight="1">
      <x:c r="A675" s="5" t="str">
        <x:v>main_1117</x:v>
      </x:c>
      <x:c r="B675" s="5" t="str">
        <x:v>all</x:v>
      </x:c>
      <x:c r="C675" s="5" t="str">
        <x:v>D3_FULL</x:v>
      </x:c>
      <x:c r="D675" s="5" t="str">
        <x:v>abstention_rate</x:v>
      </x:c>
      <x:c r="E675" s="5" t="n">
        <x:v>138</x:v>
      </x:c>
      <x:c r="F675" s="5" t="n">
        <x:v>1098</x:v>
      </x:c>
      <x:c r="G675" s="10" t="n">
        <x:f>IF(COUNTBLANK(E675:F675)&gt;0,"N/A",IF(F675=0,"N/A",E675/F675))</x:f>
        <x:v>0.12568306010928962</x:v>
      </x:c>
      <x:c r="H675" s="5" t="str">
        <x:v>Automatic</x:v>
      </x:c>
      <x:c r="I675" s="5" t="n">
        <x:v>1117</x:v>
      </x:c>
      <x:c r="J675" s="5" t="n">
        <x:v>19</x:v>
      </x:c>
      <x:c r="K675" s="5" t="str">
        <x:v>rate</x:v>
      </x:c>
      <x:c r="L675" s="5" t="str">
        <x:v>Only successful outputs with no disclosed mechanism; failures excluded</x:v>
      </x:c>
    </x:row>
    <x:row r="676" ht="20" hidden="0" customHeight="1">
      <x:c r="A676" s="5" t="str">
        <x:v>main_1117</x:v>
      </x:c>
      <x:c r="B676" s="5" t="str">
        <x:v>all</x:v>
      </x:c>
      <x:c r="C676" s="5" t="str">
        <x:v>D3_FULL</x:v>
      </x:c>
      <x:c r="D676" s="5" t="str">
        <x:v>mean_contributions_per_attempted_family</x:v>
      </x:c>
      <x:c r="E676" s="5" t="n">
        <x:v>1065</x:v>
      </x:c>
      <x:c r="F676" s="5" t="n">
        <x:v>1117</x:v>
      </x:c>
      <x:c r="G676" s="11" t="n">
        <x:f>IF(COUNTBLANK(E676:F676)&gt;0,"N/A",IF(F676=0,"N/A",E676/F676))</x:f>
        <x:v>0.9534467323187108</x:v>
      </x:c>
      <x:c r="H676" s="5" t="str">
        <x:v>Automatic</x:v>
      </x:c>
      <x:c r="I676" s="5" t="n">
        <x:v>1117</x:v>
      </x:c>
      <x:c r="J676" s="5" t="n">
        <x:v>19</x:v>
      </x:c>
      <x:c r="K676" s="5" t="str">
        <x:v>contributions/family</x:v>
      </x:c>
      <x:c r="L676" s="5" t="str"/>
    </x:row>
    <x:row r="677" ht="20" hidden="0" customHeight="1">
      <x:c r="A677" s="5" t="str">
        <x:v>main_1117</x:v>
      </x:c>
      <x:c r="B677" s="5" t="str">
        <x:v>all</x:v>
      </x:c>
      <x:c r="C677" s="5" t="str">
        <x:v>D3_FULL</x:v>
      </x:c>
      <x:c r="D677" s="5" t="str">
        <x:v>level1_exact_span_reference_rate</x:v>
      </x:c>
      <x:c r="E677" s="5" t="n">
        <x:v>21874</x:v>
      </x:c>
      <x:c r="F677" s="5" t="n">
        <x:v>21874</x:v>
      </x:c>
      <x:c r="G677" s="10" t="n">
        <x:f>IF(COUNTBLANK(E677:F677)&gt;0,"N/A",IF(F677=0,"N/A",E677/F677))</x:f>
        <x:v>1</x:v>
      </x:c>
      <x:c r="H677" s="5" t="str">
        <x:v>Automatic</x:v>
      </x:c>
      <x:c r="I677" s="5" t="n">
        <x:v>1117</x:v>
      </x:c>
      <x:c r="J677" s="5" t="n">
        <x:v>19</x:v>
      </x:c>
      <x:c r="K677" s="5" t="str">
        <x:v>rate</x:v>
      </x:c>
      <x:c r="L677" s="5" t="str">
        <x:v>Programmatic Unicode [start,end) exactness; not semantic accuracy</x:v>
      </x:c>
    </x:row>
    <x:row r="678" ht="20" hidden="0" customHeight="1">
      <x:c r="A678" s="5" t="str">
        <x:v>main_1117</x:v>
      </x:c>
      <x:c r="B678" s="5" t="str">
        <x:v>all</x:v>
      </x:c>
      <x:c r="C678" s="5" t="str">
        <x:v>D3_FULL</x:v>
      </x:c>
      <x:c r="D678" s="5" t="str">
        <x:v>level2_field_support_rate</x:v>
      </x:c>
      <x:c r="E678" s="5" t="n">
        <x:v>15124</x:v>
      </x:c>
      <x:c r="F678" s="5" t="n">
        <x:v>15294</x:v>
      </x:c>
      <x:c r="G678" s="10" t="n">
        <x:f>IF(COUNTBLANK(E678:F678)&gt;0,"N/A",IF(F678=0,"N/A",E678/F678))</x:f>
        <x:v>0.9888845298809991</x:v>
      </x:c>
      <x:c r="H678" s="5" t="str">
        <x:v>Silver</x:v>
      </x:c>
      <x:c r="I678" s="5" t="n">
        <x:v>1117</x:v>
      </x:c>
      <x:c r="J678" s="5" t="n">
        <x:v>19</x:v>
      </x:c>
      <x:c r="K678" s="5" t="str">
        <x:v>rate</x:v>
      </x:c>
      <x:c r="L678" s="5" t="str">
        <x:v>Independent same-model source re-read; explicit/supported paraphrase only</x:v>
      </x:c>
    </x:row>
    <x:row r="679" ht="20" hidden="0" customHeight="1">
      <x:c r="A679" s="5" t="str">
        <x:v>main_1117</x:v>
      </x:c>
      <x:c r="B679" s="5" t="str">
        <x:v>all</x:v>
      </x:c>
      <x:c r="C679" s="5" t="str">
        <x:v>D3_FULL</x:v>
      </x:c>
      <x:c r="D679" s="5" t="str">
        <x:v>level3_conclusion_support_rate</x:v>
      </x:c>
      <x:c r="E679" s="5" t="n">
        <x:v>924</x:v>
      </x:c>
      <x:c r="F679" s="5" t="n">
        <x:v>960</x:v>
      </x:c>
      <x:c r="G679" s="10" t="n">
        <x:f>IF(COUNTBLANK(E679:F679)&gt;0,"N/A",IF(F679=0,"N/A",E679/F679))</x:f>
        <x:v>0.9625</x:v>
      </x:c>
      <x:c r="H679" s="5" t="str">
        <x:v>Silver</x:v>
      </x:c>
      <x:c r="I679" s="5" t="n">
        <x:v>1117</x:v>
      </x:c>
      <x:c r="J679" s="5" t="n">
        <x:v>19</x:v>
      </x:c>
      <x:c r="K679" s="5" t="str">
        <x:v>rate</x:v>
      </x:c>
      <x:c r="L679" s="5" t="str">
        <x:v>Nonempty family conclusions; not human accuracy</x:v>
      </x:c>
    </x:row>
    <x:row r="680" ht="20" hidden="0" customHeight="1">
      <x:c r="A680" s="5" t="str">
        <x:v>main_1117</x:v>
      </x:c>
      <x:c r="B680" s="5" t="str">
        <x:v>all</x:v>
      </x:c>
      <x:c r="C680" s="5" t="str">
        <x:v>D3_FULL</x:v>
      </x:c>
      <x:c r="D680" s="5" t="str">
        <x:v>human_gold_accuracy</x:v>
      </x:c>
      <x:c r="E680" s="5"/>
      <x:c r="F680" s="5"/>
      <x:c r="G680" s="10" t="str">
        <x:f>IF(COUNTBLANK(E680:F680)&gt;0,"N/A",IF(F680=0,"N/A",E680/F680))</x:f>
        <x:v>N/A</x:v>
      </x:c>
      <x:c r="H680" s="5" t="str">
        <x:v>Gold</x:v>
      </x:c>
      <x:c r="I680" s="5" t="n">
        <x:v>1117</x:v>
      </x:c>
      <x:c r="J680" s="5" t="n">
        <x:v>19</x:v>
      </x:c>
      <x:c r="K680" s="5" t="str">
        <x:v>rate</x:v>
      </x:c>
      <x:c r="L680" s="5" t="str">
        <x:v>N/A: no independent humans</x:v>
      </x:c>
    </x:row>
    <x:row r="681" ht="44" hidden="0" customHeight="1">
      <x:c r="A681" s="5" t="str">
        <x:v>paired_full</x:v>
      </x:c>
      <x:c r="B681" s="5" t="str">
        <x:v>development</x:v>
      </x:c>
      <x:c r="C681" s="5" t="str">
        <x:v>D2_ARCHIVED</x:v>
      </x:c>
      <x:c r="D681" s="5" t="str">
        <x:v>mean_known_usage_cost_usd_per_family</x:v>
      </x:c>
      <x:c r="E681" s="5"/>
      <x:c r="F681" s="5"/>
      <x:c r="G681" s="11" t="str">
        <x:f>IF(COUNTBLANK(E681:F681)&gt;0,"N/A",IF(F681=0,"N/A",E681/F681))</x:f>
        <x:v>N/A</x:v>
      </x:c>
      <x:c r="H681" s="5" t="str">
        <x:v>N/A local cost unknown</x:v>
      </x:c>
      <x:c r="I681" s="5" t="n">
        <x:v>95</x:v>
      </x:c>
      <x:c r="J681" s="5" t="n">
        <x:v>0</x:v>
      </x:c>
      <x:c r="K681" s="5" t="str">
        <x:v>USD/family</x:v>
      </x:c>
      <x:c r="L681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2" ht="44" hidden="0" customHeight="1">
      <x:c r="A682" s="5" t="str">
        <x:v>paired_full</x:v>
      </x:c>
      <x:c r="B682" s="5" t="str">
        <x:v>development</x:v>
      </x:c>
      <x:c r="C682" s="5" t="str">
        <x:v>D2_ARCHIVED</x:v>
      </x:c>
      <x:c r="D682" s="5" t="str">
        <x:v>mean_known_usage_cost_usd_per_response</x:v>
      </x:c>
      <x:c r="E682" s="5"/>
      <x:c r="F682" s="5"/>
      <x:c r="G682" s="11" t="str">
        <x:f>IF(COUNTBLANK(E682:F682)&gt;0,"N/A",IF(F682=0,"N/A",E682/F682))</x:f>
        <x:v>N/A</x:v>
      </x:c>
      <x:c r="H682" s="5" t="str">
        <x:v>N/A local cost unknown</x:v>
      </x:c>
      <x:c r="I682" s="5" t="n">
        <x:v>95</x:v>
      </x:c>
      <x:c r="J682" s="5" t="n">
        <x:v>0</x:v>
      </x:c>
      <x:c r="K682" s="5" t="str">
        <x:v>USD/response</x:v>
      </x:c>
      <x:c r="L682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3" ht="44" hidden="0" customHeight="1">
      <x:c r="A683" s="5" t="str">
        <x:v>paired_full</x:v>
      </x:c>
      <x:c r="B683" s="5" t="str">
        <x:v>development</x:v>
      </x:c>
      <x:c r="C683" s="5" t="str">
        <x:v>D2_ARCHIVED</x:v>
      </x:c>
      <x:c r="D683" s="5" t="str">
        <x:v>calls_per_family</x:v>
      </x:c>
      <x:c r="E683" s="5"/>
      <x:c r="F683" s="5"/>
      <x:c r="G683" s="11" t="str">
        <x:f>IF(COUNTBLANK(E683:F683)&gt;0,"N/A",IF(F683=0,"N/A",E683/F683))</x:f>
        <x:v>N/A</x:v>
      </x:c>
      <x:c r="H683" s="5" t="str">
        <x:v>N/A local cost unknown</x:v>
      </x:c>
      <x:c r="I683" s="5" t="n">
        <x:v>95</x:v>
      </x:c>
      <x:c r="J683" s="5" t="n">
        <x:v>0</x:v>
      </x:c>
      <x:c r="K683" s="5" t="str">
        <x:v>attempts/family</x:v>
      </x:c>
      <x:c r="L683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4" ht="44" hidden="0" customHeight="1">
      <x:c r="A684" s="5" t="str">
        <x:v>paired_full</x:v>
      </x:c>
      <x:c r="B684" s="5" t="str">
        <x:v>development</x:v>
      </x:c>
      <x:c r="C684" s="5" t="str">
        <x:v>D3_FIDELITY</x:v>
      </x:c>
      <x:c r="D684" s="5" t="str">
        <x:v>mean_known_usage_cost_usd_per_family</x:v>
      </x:c>
      <x:c r="E684" s="5" t="n">
        <x:v>0.317349768</x:v>
      </x:c>
      <x:c r="F684" s="5" t="n">
        <x:v>95</x:v>
      </x:c>
      <x:c r="G684" s="11" t="n">
        <x:f>IF(COUNTBLANK(E684:F684)&gt;0,"N/A",IF(F684=0,"N/A",E684/F684))</x:f>
        <x:v>0.0033405238736842102</x:v>
      </x:c>
      <x:c r="H684" s="5" t="str">
        <x:v>Measured usage</x:v>
      </x:c>
      <x:c r="I684" s="5" t="n">
        <x:v>95</x:v>
      </x:c>
      <x:c r="J684" s="5" t="n">
        <x:v>0</x:v>
      </x:c>
      <x:c r="K684" s="5" t="str">
        <x:v>USD/family</x:v>
      </x:c>
      <x:c r="L684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5" ht="44" hidden="0" customHeight="1">
      <x:c r="A685" s="5" t="str">
        <x:v>paired_full</x:v>
      </x:c>
      <x:c r="B685" s="5" t="str">
        <x:v>development</x:v>
      </x:c>
      <x:c r="C685" s="5" t="str">
        <x:v>D3_FIDELITY</x:v>
      </x:c>
      <x:c r="D685" s="5" t="str">
        <x:v>mean_known_usage_cost_usd_per_response</x:v>
      </x:c>
      <x:c r="E685" s="5" t="n">
        <x:v>0.317349768</x:v>
      </x:c>
      <x:c r="F685" s="5" t="n">
        <x:v>214</x:v>
      </x:c>
      <x:c r="G685" s="11" t="n">
        <x:f>IF(COUNTBLANK(E685:F685)&gt;0,"N/A",IF(F685=0,"N/A",E685/F685))</x:f>
        <x:v>0.0014829428411214953</x:v>
      </x:c>
      <x:c r="H685" s="5" t="str">
        <x:v>Measured usage</x:v>
      </x:c>
      <x:c r="I685" s="5" t="n">
        <x:v>95</x:v>
      </x:c>
      <x:c r="J685" s="5" t="n">
        <x:v>0</x:v>
      </x:c>
      <x:c r="K685" s="5" t="str">
        <x:v>USD/response</x:v>
      </x:c>
      <x:c r="L685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6" ht="44" hidden="0" customHeight="1">
      <x:c r="A686" s="5" t="str">
        <x:v>paired_full</x:v>
      </x:c>
      <x:c r="B686" s="5" t="str">
        <x:v>development</x:v>
      </x:c>
      <x:c r="C686" s="5" t="str">
        <x:v>D3_FIDELITY</x:v>
      </x:c>
      <x:c r="D686" s="5" t="str">
        <x:v>calls_per_family</x:v>
      </x:c>
      <x:c r="E686" s="5" t="n">
        <x:v>214</x:v>
      </x:c>
      <x:c r="F686" s="5" t="n">
        <x:v>95</x:v>
      </x:c>
      <x:c r="G686" s="11" t="n">
        <x:f>IF(COUNTBLANK(E686:F686)&gt;0,"N/A",IF(F686=0,"N/A",E686/F686))</x:f>
        <x:v>2.2526315789473683</x:v>
      </x:c>
      <x:c r="H686" s="5" t="str">
        <x:v>Measured usage</x:v>
      </x:c>
      <x:c r="I686" s="5" t="n">
        <x:v>95</x:v>
      </x:c>
      <x:c r="J686" s="5" t="n">
        <x:v>0</x:v>
      </x:c>
      <x:c r="K686" s="5" t="str">
        <x:v>attempts/family</x:v>
      </x:c>
      <x:c r="L686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7" ht="44" hidden="0" customHeight="1">
      <x:c r="A687" s="5" t="str">
        <x:v>paired_full</x:v>
      </x:c>
      <x:c r="B687" s="5" t="str">
        <x:v>development</x:v>
      </x:c>
      <x:c r="C687" s="5" t="str">
        <x:v>D3_EVIDENCE</x:v>
      </x:c>
      <x:c r="D687" s="5" t="str">
        <x:v>mean_known_usage_cost_usd_per_family</x:v>
      </x:c>
      <x:c r="E687" s="5" t="n">
        <x:v>0.659811492</x:v>
      </x:c>
      <x:c r="F687" s="5" t="n">
        <x:v>95</x:v>
      </x:c>
      <x:c r="G687" s="11" t="n">
        <x:f>IF(COUNTBLANK(E687:F687)&gt;0,"N/A",IF(F687=0,"N/A",E687/F687))</x:f>
        <x:v>0.006945384126315789</x:v>
      </x:c>
      <x:c r="H687" s="5" t="str">
        <x:v>Measured usage</x:v>
      </x:c>
      <x:c r="I687" s="5" t="n">
        <x:v>95</x:v>
      </x:c>
      <x:c r="J687" s="5" t="n">
        <x:v>0</x:v>
      </x:c>
      <x:c r="K687" s="5" t="str">
        <x:v>USD/family</x:v>
      </x:c>
      <x:c r="L687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8" ht="44" hidden="0" customHeight="1">
      <x:c r="A688" s="5" t="str">
        <x:v>paired_full</x:v>
      </x:c>
      <x:c r="B688" s="5" t="str">
        <x:v>development</x:v>
      </x:c>
      <x:c r="C688" s="5" t="str">
        <x:v>D3_EVIDENCE</x:v>
      </x:c>
      <x:c r="D688" s="5" t="str">
        <x:v>mean_known_usage_cost_usd_per_response</x:v>
      </x:c>
      <x:c r="E688" s="5" t="n">
        <x:v>0.659811492</x:v>
      </x:c>
      <x:c r="F688" s="5" t="n">
        <x:v>364</x:v>
      </x:c>
      <x:c r="G688" s="11" t="n">
        <x:f>IF(COUNTBLANK(E688:F688)&gt;0,"N/A",IF(F688=0,"N/A",E688/F688))</x:f>
        <x:v>0.0018126689340659341</x:v>
      </x:c>
      <x:c r="H688" s="5" t="str">
        <x:v>Measured usage</x:v>
      </x:c>
      <x:c r="I688" s="5" t="n">
        <x:v>95</x:v>
      </x:c>
      <x:c r="J688" s="5" t="n">
        <x:v>0</x:v>
      </x:c>
      <x:c r="K688" s="5" t="str">
        <x:v>USD/response</x:v>
      </x:c>
      <x:c r="L688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89" ht="44" hidden="0" customHeight="1">
      <x:c r="A689" s="5" t="str">
        <x:v>paired_full</x:v>
      </x:c>
      <x:c r="B689" s="5" t="str">
        <x:v>development</x:v>
      </x:c>
      <x:c r="C689" s="5" t="str">
        <x:v>D3_EVIDENCE</x:v>
      </x:c>
      <x:c r="D689" s="5" t="str">
        <x:v>calls_per_family</x:v>
      </x:c>
      <x:c r="E689" s="5" t="n">
        <x:v>364</x:v>
      </x:c>
      <x:c r="F689" s="5" t="n">
        <x:v>95</x:v>
      </x:c>
      <x:c r="G689" s="11" t="n">
        <x:f>IF(COUNTBLANK(E689:F689)&gt;0,"N/A",IF(F689=0,"N/A",E689/F689))</x:f>
        <x:v>3.831578947368421</x:v>
      </x:c>
      <x:c r="H689" s="5" t="str">
        <x:v>Measured usage</x:v>
      </x:c>
      <x:c r="I689" s="5" t="n">
        <x:v>95</x:v>
      </x:c>
      <x:c r="J689" s="5" t="n">
        <x:v>0</x:v>
      </x:c>
      <x:c r="K689" s="5" t="str">
        <x:v>attempts/family</x:v>
      </x:c>
      <x:c r="L689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0" ht="44" hidden="0" customHeight="1">
      <x:c r="A690" s="5" t="str">
        <x:v>paired_full</x:v>
      </x:c>
      <x:c r="B690" s="5" t="str">
        <x:v>development</x:v>
      </x:c>
      <x:c r="C690" s="5" t="str">
        <x:v>D3_FULL</x:v>
      </x:c>
      <x:c r="D690" s="5" t="str">
        <x:v>mean_known_usage_cost_usd_per_family</x:v>
      </x:c>
      <x:c r="E690" s="5" t="n">
        <x:v>0.76110354</x:v>
      </x:c>
      <x:c r="F690" s="5" t="n">
        <x:v>95</x:v>
      </x:c>
      <x:c r="G690" s="11" t="n">
        <x:f>IF(COUNTBLANK(E690:F690)&gt;0,"N/A",IF(F690=0,"N/A",E690/F690))</x:f>
        <x:v>0.008011616210526316</x:v>
      </x:c>
      <x:c r="H690" s="5" t="str">
        <x:v>Measured usage</x:v>
      </x:c>
      <x:c r="I690" s="5" t="n">
        <x:v>95</x:v>
      </x:c>
      <x:c r="J690" s="5" t="n">
        <x:v>0</x:v>
      </x:c>
      <x:c r="K690" s="5" t="str">
        <x:v>USD/family</x:v>
      </x:c>
      <x:c r="L690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1" ht="44" hidden="0" customHeight="1">
      <x:c r="A691" s="5" t="str">
        <x:v>paired_full</x:v>
      </x:c>
      <x:c r="B691" s="5" t="str">
        <x:v>development</x:v>
      </x:c>
      <x:c r="C691" s="5" t="str">
        <x:v>D3_FULL</x:v>
      </x:c>
      <x:c r="D691" s="5" t="str">
        <x:v>mean_known_usage_cost_usd_per_response</x:v>
      </x:c>
      <x:c r="E691" s="5" t="n">
        <x:v>0.76110354</x:v>
      </x:c>
      <x:c r="F691" s="5" t="n">
        <x:v>459</x:v>
      </x:c>
      <x:c r="G691" s="11" t="n">
        <x:f>IF(COUNTBLANK(E691:F691)&gt;0,"N/A",IF(F691=0,"N/A",E691/F691))</x:f>
        <x:v>0.0016581776470588237</x:v>
      </x:c>
      <x:c r="H691" s="5" t="str">
        <x:v>Measured usage</x:v>
      </x:c>
      <x:c r="I691" s="5" t="n">
        <x:v>95</x:v>
      </x:c>
      <x:c r="J691" s="5" t="n">
        <x:v>0</x:v>
      </x:c>
      <x:c r="K691" s="5" t="str">
        <x:v>USD/response</x:v>
      </x:c>
      <x:c r="L691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2" ht="44" hidden="0" customHeight="1">
      <x:c r="A692" s="5" t="str">
        <x:v>paired_full</x:v>
      </x:c>
      <x:c r="B692" s="5" t="str">
        <x:v>development</x:v>
      </x:c>
      <x:c r="C692" s="5" t="str">
        <x:v>D3_FULL</x:v>
      </x:c>
      <x:c r="D692" s="5" t="str">
        <x:v>calls_per_family</x:v>
      </x:c>
      <x:c r="E692" s="5" t="n">
        <x:v>459</x:v>
      </x:c>
      <x:c r="F692" s="5" t="n">
        <x:v>95</x:v>
      </x:c>
      <x:c r="G692" s="11" t="n">
        <x:f>IF(COUNTBLANK(E692:F692)&gt;0,"N/A",IF(F692=0,"N/A",E692/F692))</x:f>
        <x:v>4.831578947368421</x:v>
      </x:c>
      <x:c r="H692" s="5" t="str">
        <x:v>Measured usage</x:v>
      </x:c>
      <x:c r="I692" s="5" t="n">
        <x:v>95</x:v>
      </x:c>
      <x:c r="J692" s="5" t="n">
        <x:v>0</x:v>
      </x:c>
      <x:c r="K692" s="5" t="str">
        <x:v>attempts/family</x:v>
      </x:c>
      <x:c r="L692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3" ht="44" hidden="0" customHeight="1">
      <x:c r="A693" s="5" t="str">
        <x:v>paired_ablation</x:v>
      </x:c>
      <x:c r="B693" s="5" t="str">
        <x:v>development</x:v>
      </x:c>
      <x:c r="C693" s="5" t="str">
        <x:v>D2_ARCHIVED</x:v>
      </x:c>
      <x:c r="D693" s="5" t="str">
        <x:v>mean_known_usage_cost_usd_per_family</x:v>
      </x:c>
      <x:c r="E693" s="5"/>
      <x:c r="F693" s="5"/>
      <x:c r="G693" s="11" t="str">
        <x:f>IF(COUNTBLANK(E693:F693)&gt;0,"N/A",IF(F693=0,"N/A",E693/F693))</x:f>
        <x:v>N/A</x:v>
      </x:c>
      <x:c r="H693" s="5" t="str">
        <x:v>N/A local cost unknown</x:v>
      </x:c>
      <x:c r="I693" s="5" t="n">
        <x:v>28</x:v>
      </x:c>
      <x:c r="J693" s="5" t="n">
        <x:v>0</x:v>
      </x:c>
      <x:c r="K693" s="5" t="str">
        <x:v>USD/family</x:v>
      </x:c>
      <x:c r="L693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4" ht="44" hidden="0" customHeight="1">
      <x:c r="A694" s="5" t="str">
        <x:v>paired_ablation</x:v>
      </x:c>
      <x:c r="B694" s="5" t="str">
        <x:v>development</x:v>
      </x:c>
      <x:c r="C694" s="5" t="str">
        <x:v>D2_ARCHIVED</x:v>
      </x:c>
      <x:c r="D694" s="5" t="str">
        <x:v>mean_known_usage_cost_usd_per_response</x:v>
      </x:c>
      <x:c r="E694" s="5"/>
      <x:c r="F694" s="5"/>
      <x:c r="G694" s="11" t="str">
        <x:f>IF(COUNTBLANK(E694:F694)&gt;0,"N/A",IF(F694=0,"N/A",E694/F694))</x:f>
        <x:v>N/A</x:v>
      </x:c>
      <x:c r="H694" s="5" t="str">
        <x:v>N/A local cost unknown</x:v>
      </x:c>
      <x:c r="I694" s="5" t="n">
        <x:v>28</x:v>
      </x:c>
      <x:c r="J694" s="5" t="n">
        <x:v>0</x:v>
      </x:c>
      <x:c r="K694" s="5" t="str">
        <x:v>USD/response</x:v>
      </x:c>
      <x:c r="L694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5" ht="44" hidden="0" customHeight="1">
      <x:c r="A695" s="5" t="str">
        <x:v>paired_ablation</x:v>
      </x:c>
      <x:c r="B695" s="5" t="str">
        <x:v>development</x:v>
      </x:c>
      <x:c r="C695" s="5" t="str">
        <x:v>D2_ARCHIVED</x:v>
      </x:c>
      <x:c r="D695" s="5" t="str">
        <x:v>calls_per_family</x:v>
      </x:c>
      <x:c r="E695" s="5"/>
      <x:c r="F695" s="5"/>
      <x:c r="G695" s="11" t="str">
        <x:f>IF(COUNTBLANK(E695:F695)&gt;0,"N/A",IF(F695=0,"N/A",E695/F695))</x:f>
        <x:v>N/A</x:v>
      </x:c>
      <x:c r="H695" s="5" t="str">
        <x:v>N/A local cost unknown</x:v>
      </x:c>
      <x:c r="I695" s="5" t="n">
        <x:v>28</x:v>
      </x:c>
      <x:c r="J695" s="5" t="n">
        <x:v>0</x:v>
      </x:c>
      <x:c r="K695" s="5" t="str">
        <x:v>attempts/family</x:v>
      </x:c>
      <x:c r="L695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6" ht="44" hidden="0" customHeight="1">
      <x:c r="A696" s="5" t="str">
        <x:v>paired_ablation</x:v>
      </x:c>
      <x:c r="B696" s="5" t="str">
        <x:v>development</x:v>
      </x:c>
      <x:c r="C696" s="5" t="str">
        <x:v>D2_DEEPSEEK_REPLAY</x:v>
      </x:c>
      <x:c r="D696" s="5" t="str">
        <x:v>mean_known_usage_cost_usd_per_family</x:v>
      </x:c>
      <x:c r="E696" s="5" t="n">
        <x:v>0.026667072</x:v>
      </x:c>
      <x:c r="F696" s="5" t="n">
        <x:v>28</x:v>
      </x:c>
      <x:c r="G696" s="11" t="n">
        <x:f>IF(COUNTBLANK(E696:F696)&gt;0,"N/A",IF(F696=0,"N/A",E696/F696))</x:f>
        <x:v>0.0009523954285714285</x:v>
      </x:c>
      <x:c r="H696" s="5" t="str">
        <x:v>Measured usage</x:v>
      </x:c>
      <x:c r="I696" s="5" t="n">
        <x:v>28</x:v>
      </x:c>
      <x:c r="J696" s="5" t="n">
        <x:v>0</x:v>
      </x:c>
      <x:c r="K696" s="5" t="str">
        <x:v>USD/family</x:v>
      </x:c>
      <x:c r="L696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7" ht="44" hidden="0" customHeight="1">
      <x:c r="A697" s="5" t="str">
        <x:v>paired_ablation</x:v>
      </x:c>
      <x:c r="B697" s="5" t="str">
        <x:v>development</x:v>
      </x:c>
      <x:c r="C697" s="5" t="str">
        <x:v>D2_DEEPSEEK_REPLAY</x:v>
      </x:c>
      <x:c r="D697" s="5" t="str">
        <x:v>mean_known_usage_cost_usd_per_response</x:v>
      </x:c>
      <x:c r="E697" s="5" t="n">
        <x:v>0.026667072</x:v>
      </x:c>
      <x:c r="F697" s="5" t="n">
        <x:v>29</x:v>
      </x:c>
      <x:c r="G697" s="11" t="n">
        <x:f>IF(COUNTBLANK(E697:F697)&gt;0,"N/A",IF(F697=0,"N/A",E697/F697))</x:f>
        <x:v>0.0009195542068965517</x:v>
      </x:c>
      <x:c r="H697" s="5" t="str">
        <x:v>Measured usage</x:v>
      </x:c>
      <x:c r="I697" s="5" t="n">
        <x:v>28</x:v>
      </x:c>
      <x:c r="J697" s="5" t="n">
        <x:v>0</x:v>
      </x:c>
      <x:c r="K697" s="5" t="str">
        <x:v>USD/response</x:v>
      </x:c>
      <x:c r="L697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8" ht="44" hidden="0" customHeight="1">
      <x:c r="A698" s="5" t="str">
        <x:v>paired_ablation</x:v>
      </x:c>
      <x:c r="B698" s="5" t="str">
        <x:v>development</x:v>
      </x:c>
      <x:c r="C698" s="5" t="str">
        <x:v>D2_DEEPSEEK_REPLAY</x:v>
      </x:c>
      <x:c r="D698" s="5" t="str">
        <x:v>calls_per_family</x:v>
      </x:c>
      <x:c r="E698" s="5" t="n">
        <x:v>29</x:v>
      </x:c>
      <x:c r="F698" s="5" t="n">
        <x:v>28</x:v>
      </x:c>
      <x:c r="G698" s="11" t="n">
        <x:f>IF(COUNTBLANK(E698:F698)&gt;0,"N/A",IF(F698=0,"N/A",E698/F698))</x:f>
        <x:v>1.0357142857142858</x:v>
      </x:c>
      <x:c r="H698" s="5" t="str">
        <x:v>Measured usage</x:v>
      </x:c>
      <x:c r="I698" s="5" t="n">
        <x:v>28</x:v>
      </x:c>
      <x:c r="J698" s="5" t="n">
        <x:v>0</x:v>
      </x:c>
      <x:c r="K698" s="5" t="str">
        <x:v>attempts/family</x:v>
      </x:c>
      <x:c r="L698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699" ht="44" hidden="0" customHeight="1">
      <x:c r="A699" s="5" t="str">
        <x:v>paired_ablation</x:v>
      </x:c>
      <x:c r="B699" s="5" t="str">
        <x:v>development</x:v>
      </x:c>
      <x:c r="C699" s="5" t="str">
        <x:v>D3_EXTRACT_ONLY</x:v>
      </x:c>
      <x:c r="D699" s="5" t="str">
        <x:v>mean_known_usage_cost_usd_per_family</x:v>
      </x:c>
      <x:c r="E699" s="5" t="n">
        <x:v>0.044742732</x:v>
      </x:c>
      <x:c r="F699" s="5" t="n">
        <x:v>28</x:v>
      </x:c>
      <x:c r="G699" s="11" t="n">
        <x:f>IF(COUNTBLANK(E699:F699)&gt;0,"N/A",IF(F699=0,"N/A",E699/F699))</x:f>
        <x:v>0.0015979547142857143</x:v>
      </x:c>
      <x:c r="H699" s="5" t="str">
        <x:v>Measured usage</x:v>
      </x:c>
      <x:c r="I699" s="5" t="n">
        <x:v>28</x:v>
      </x:c>
      <x:c r="J699" s="5" t="n">
        <x:v>0</x:v>
      </x:c>
      <x:c r="K699" s="5" t="str">
        <x:v>USD/family</x:v>
      </x:c>
      <x:c r="L699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0" ht="44" hidden="0" customHeight="1">
      <x:c r="A700" s="5" t="str">
        <x:v>paired_ablation</x:v>
      </x:c>
      <x:c r="B700" s="5" t="str">
        <x:v>development</x:v>
      </x:c>
      <x:c r="C700" s="5" t="str">
        <x:v>D3_EXTRACT_ONLY</x:v>
      </x:c>
      <x:c r="D700" s="5" t="str">
        <x:v>mean_known_usage_cost_usd_per_response</x:v>
      </x:c>
      <x:c r="E700" s="5" t="n">
        <x:v>0.044742732</x:v>
      </x:c>
      <x:c r="F700" s="5" t="n">
        <x:v>38</x:v>
      </x:c>
      <x:c r="G700" s="11" t="n">
        <x:f>IF(COUNTBLANK(E700:F700)&gt;0,"N/A",IF(F700=0,"N/A",E700/F700))</x:f>
        <x:v>0.0011774403157894736</x:v>
      </x:c>
      <x:c r="H700" s="5" t="str">
        <x:v>Measured usage</x:v>
      </x:c>
      <x:c r="I700" s="5" t="n">
        <x:v>28</x:v>
      </x:c>
      <x:c r="J700" s="5" t="n">
        <x:v>0</x:v>
      </x:c>
      <x:c r="K700" s="5" t="str">
        <x:v>USD/response</x:v>
      </x:c>
      <x:c r="L700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1" ht="44" hidden="0" customHeight="1">
      <x:c r="A701" s="5" t="str">
        <x:v>paired_ablation</x:v>
      </x:c>
      <x:c r="B701" s="5" t="str">
        <x:v>development</x:v>
      </x:c>
      <x:c r="C701" s="5" t="str">
        <x:v>D3_EXTRACT_ONLY</x:v>
      </x:c>
      <x:c r="D701" s="5" t="str">
        <x:v>calls_per_family</x:v>
      </x:c>
      <x:c r="E701" s="5" t="n">
        <x:v>38</x:v>
      </x:c>
      <x:c r="F701" s="5" t="n">
        <x:v>28</x:v>
      </x:c>
      <x:c r="G701" s="11" t="n">
        <x:f>IF(COUNTBLANK(E701:F701)&gt;0,"N/A",IF(F701=0,"N/A",E701/F701))</x:f>
        <x:v>1.3571428571428572</x:v>
      </x:c>
      <x:c r="H701" s="5" t="str">
        <x:v>Measured usage</x:v>
      </x:c>
      <x:c r="I701" s="5" t="n">
        <x:v>28</x:v>
      </x:c>
      <x:c r="J701" s="5" t="n">
        <x:v>0</x:v>
      </x:c>
      <x:c r="K701" s="5" t="str">
        <x:v>attempts/family</x:v>
      </x:c>
      <x:c r="L701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2" ht="44" hidden="0" customHeight="1">
      <x:c r="A702" s="5" t="str">
        <x:v>paired_ablation</x:v>
      </x:c>
      <x:c r="B702" s="5" t="str">
        <x:v>development</x:v>
      </x:c>
      <x:c r="C702" s="5" t="str">
        <x:v>D3_FIDELITY</x:v>
      </x:c>
      <x:c r="D702" s="5" t="str">
        <x:v>mean_known_usage_cost_usd_per_family</x:v>
      </x:c>
      <x:c r="E702" s="5" t="n">
        <x:v>0.090541788</x:v>
      </x:c>
      <x:c r="F702" s="5" t="n">
        <x:v>28</x:v>
      </x:c>
      <x:c r="G702" s="11" t="n">
        <x:f>IF(COUNTBLANK(E702:F702)&gt;0,"N/A",IF(F702=0,"N/A",E702/F702))</x:f>
        <x:v>0.0032336352857142855</x:v>
      </x:c>
      <x:c r="H702" s="5" t="str">
        <x:v>Measured usage</x:v>
      </x:c>
      <x:c r="I702" s="5" t="n">
        <x:v>28</x:v>
      </x:c>
      <x:c r="J702" s="5" t="n">
        <x:v>0</x:v>
      </x:c>
      <x:c r="K702" s="5" t="str">
        <x:v>USD/family</x:v>
      </x:c>
      <x:c r="L702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3" ht="44" hidden="0" customHeight="1">
      <x:c r="A703" s="5" t="str">
        <x:v>paired_ablation</x:v>
      </x:c>
      <x:c r="B703" s="5" t="str">
        <x:v>development</x:v>
      </x:c>
      <x:c r="C703" s="5" t="str">
        <x:v>D3_FIDELITY</x:v>
      </x:c>
      <x:c r="D703" s="5" t="str">
        <x:v>mean_known_usage_cost_usd_per_response</x:v>
      </x:c>
      <x:c r="E703" s="5" t="n">
        <x:v>0.090541788</x:v>
      </x:c>
      <x:c r="F703" s="5" t="n">
        <x:v>62</x:v>
      </x:c>
      <x:c r="G703" s="11" t="n">
        <x:f>IF(COUNTBLANK(E703:F703)&gt;0,"N/A",IF(F703=0,"N/A",E703/F703))</x:f>
        <x:v>0.0014603514193548388</x:v>
      </x:c>
      <x:c r="H703" s="5" t="str">
        <x:v>Measured usage</x:v>
      </x:c>
      <x:c r="I703" s="5" t="n">
        <x:v>28</x:v>
      </x:c>
      <x:c r="J703" s="5" t="n">
        <x:v>0</x:v>
      </x:c>
      <x:c r="K703" s="5" t="str">
        <x:v>USD/response</x:v>
      </x:c>
      <x:c r="L703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4" ht="44" hidden="0" customHeight="1">
      <x:c r="A704" s="5" t="str">
        <x:v>paired_ablation</x:v>
      </x:c>
      <x:c r="B704" s="5" t="str">
        <x:v>development</x:v>
      </x:c>
      <x:c r="C704" s="5" t="str">
        <x:v>D3_FIDELITY</x:v>
      </x:c>
      <x:c r="D704" s="5" t="str">
        <x:v>calls_per_family</x:v>
      </x:c>
      <x:c r="E704" s="5" t="n">
        <x:v>62</x:v>
      </x:c>
      <x:c r="F704" s="5" t="n">
        <x:v>28</x:v>
      </x:c>
      <x:c r="G704" s="11" t="n">
        <x:f>IF(COUNTBLANK(E704:F704)&gt;0,"N/A",IF(F704=0,"N/A",E704/F704))</x:f>
        <x:v>2.2142857142857144</x:v>
      </x:c>
      <x:c r="H704" s="5" t="str">
        <x:v>Measured usage</x:v>
      </x:c>
      <x:c r="I704" s="5" t="n">
        <x:v>28</x:v>
      </x:c>
      <x:c r="J704" s="5" t="n">
        <x:v>0</x:v>
      </x:c>
      <x:c r="K704" s="5" t="str">
        <x:v>attempts/family</x:v>
      </x:c>
      <x:c r="L704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5" ht="44" hidden="0" customHeight="1">
      <x:c r="A705" s="5" t="str">
        <x:v>paired_ablation</x:v>
      </x:c>
      <x:c r="B705" s="5" t="str">
        <x:v>development</x:v>
      </x:c>
      <x:c r="C705" s="5" t="str">
        <x:v>D3_EVIDENCE</x:v>
      </x:c>
      <x:c r="D705" s="5" t="str">
        <x:v>mean_known_usage_cost_usd_per_family</x:v>
      </x:c>
      <x:c r="E705" s="5" t="n">
        <x:v>0.201063216</x:v>
      </x:c>
      <x:c r="F705" s="5" t="n">
        <x:v>28</x:v>
      </x:c>
      <x:c r="G705" s="11" t="n">
        <x:f>IF(COUNTBLANK(E705:F705)&gt;0,"N/A",IF(F705=0,"N/A",E705/F705))</x:f>
        <x:v>0.0071808291428571425</x:v>
      </x:c>
      <x:c r="H705" s="5" t="str">
        <x:v>Measured usage</x:v>
      </x:c>
      <x:c r="I705" s="5" t="n">
        <x:v>28</x:v>
      </x:c>
      <x:c r="J705" s="5" t="n">
        <x:v>0</x:v>
      </x:c>
      <x:c r="K705" s="5" t="str">
        <x:v>USD/family</x:v>
      </x:c>
      <x:c r="L705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6" ht="44" hidden="0" customHeight="1">
      <x:c r="A706" s="5" t="str">
        <x:v>paired_ablation</x:v>
      </x:c>
      <x:c r="B706" s="5" t="str">
        <x:v>development</x:v>
      </x:c>
      <x:c r="C706" s="5" t="str">
        <x:v>D3_EVIDENCE</x:v>
      </x:c>
      <x:c r="D706" s="5" t="str">
        <x:v>mean_known_usage_cost_usd_per_response</x:v>
      </x:c>
      <x:c r="E706" s="5" t="n">
        <x:v>0.201063216</x:v>
      </x:c>
      <x:c r="F706" s="5" t="n">
        <x:v>108</x:v>
      </x:c>
      <x:c r="G706" s="11" t="n">
        <x:f>IF(COUNTBLANK(E706:F706)&gt;0,"N/A",IF(F706=0,"N/A",E706/F706))</x:f>
        <x:v>0.0018616964444444443</x:v>
      </x:c>
      <x:c r="H706" s="5" t="str">
        <x:v>Measured usage</x:v>
      </x:c>
      <x:c r="I706" s="5" t="n">
        <x:v>28</x:v>
      </x:c>
      <x:c r="J706" s="5" t="n">
        <x:v>0</x:v>
      </x:c>
      <x:c r="K706" s="5" t="str">
        <x:v>USD/response</x:v>
      </x:c>
      <x:c r="L706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7" ht="44" hidden="0" customHeight="1">
      <x:c r="A707" s="5" t="str">
        <x:v>paired_ablation</x:v>
      </x:c>
      <x:c r="B707" s="5" t="str">
        <x:v>development</x:v>
      </x:c>
      <x:c r="C707" s="5" t="str">
        <x:v>D3_EVIDENCE</x:v>
      </x:c>
      <x:c r="D707" s="5" t="str">
        <x:v>calls_per_family</x:v>
      </x:c>
      <x:c r="E707" s="5" t="n">
        <x:v>108</x:v>
      </x:c>
      <x:c r="F707" s="5" t="n">
        <x:v>28</x:v>
      </x:c>
      <x:c r="G707" s="11" t="n">
        <x:f>IF(COUNTBLANK(E707:F707)&gt;0,"N/A",IF(F707=0,"N/A",E707/F707))</x:f>
        <x:v>3.857142857142857</x:v>
      </x:c>
      <x:c r="H707" s="5" t="str">
        <x:v>Measured usage</x:v>
      </x:c>
      <x:c r="I707" s="5" t="n">
        <x:v>28</x:v>
      </x:c>
      <x:c r="J707" s="5" t="n">
        <x:v>0</x:v>
      </x:c>
      <x:c r="K707" s="5" t="str">
        <x:v>attempts/family</x:v>
      </x:c>
      <x:c r="L707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8" ht="44" hidden="0" customHeight="1">
      <x:c r="A708" s="5" t="str">
        <x:v>paired_ablation</x:v>
      </x:c>
      <x:c r="B708" s="5" t="str">
        <x:v>development</x:v>
      </x:c>
      <x:c r="C708" s="5" t="str">
        <x:v>D3_FULL</x:v>
      </x:c>
      <x:c r="D708" s="5" t="str">
        <x:v>mean_known_usage_cost_usd_per_family</x:v>
      </x:c>
      <x:c r="E708" s="5" t="n">
        <x:v>0.23107935599999999</x:v>
      </x:c>
      <x:c r="F708" s="5" t="n">
        <x:v>28</x:v>
      </x:c>
      <x:c r="G708" s="11" t="n">
        <x:f>IF(COUNTBLANK(E708:F708)&gt;0,"N/A",IF(F708=0,"N/A",E708/F708))</x:f>
        <x:v>0.008252834142857142</x:v>
      </x:c>
      <x:c r="H708" s="5" t="str">
        <x:v>Measured usage</x:v>
      </x:c>
      <x:c r="I708" s="5" t="n">
        <x:v>28</x:v>
      </x:c>
      <x:c r="J708" s="5" t="n">
        <x:v>0</x:v>
      </x:c>
      <x:c r="K708" s="5" t="str">
        <x:v>USD/family</x:v>
      </x:c>
      <x:c r="L708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09" ht="44" hidden="0" customHeight="1">
      <x:c r="A709" s="5" t="str">
        <x:v>paired_ablation</x:v>
      </x:c>
      <x:c r="B709" s="5" t="str">
        <x:v>development</x:v>
      </x:c>
      <x:c r="C709" s="5" t="str">
        <x:v>D3_FULL</x:v>
      </x:c>
      <x:c r="D709" s="5" t="str">
        <x:v>mean_known_usage_cost_usd_per_response</x:v>
      </x:c>
      <x:c r="E709" s="5" t="n">
        <x:v>0.23107935599999999</x:v>
      </x:c>
      <x:c r="F709" s="5" t="n">
        <x:v>136</x:v>
      </x:c>
      <x:c r="G709" s="11" t="n">
        <x:f>IF(COUNTBLANK(E709:F709)&gt;0,"N/A",IF(F709=0,"N/A",E709/F709))</x:f>
        <x:v>0.0016991129117647059</x:v>
      </x:c>
      <x:c r="H709" s="5" t="str">
        <x:v>Measured usage</x:v>
      </x:c>
      <x:c r="I709" s="5" t="n">
        <x:v>28</x:v>
      </x:c>
      <x:c r="J709" s="5" t="n">
        <x:v>0</x:v>
      </x:c>
      <x:c r="K709" s="5" t="str">
        <x:v>USD/response</x:v>
      </x:c>
      <x:c r="L709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0" ht="44" hidden="0" customHeight="1">
      <x:c r="A710" s="5" t="str">
        <x:v>paired_ablation</x:v>
      </x:c>
      <x:c r="B710" s="5" t="str">
        <x:v>development</x:v>
      </x:c>
      <x:c r="C710" s="5" t="str">
        <x:v>D3_FULL</x:v>
      </x:c>
      <x:c r="D710" s="5" t="str">
        <x:v>calls_per_family</x:v>
      </x:c>
      <x:c r="E710" s="5" t="n">
        <x:v>136</x:v>
      </x:c>
      <x:c r="F710" s="5" t="n">
        <x:v>28</x:v>
      </x:c>
      <x:c r="G710" s="11" t="n">
        <x:f>IF(COUNTBLANK(E710:F710)&gt;0,"N/A",IF(F710=0,"N/A",E710/F710))</x:f>
        <x:v>4.857142857142857</x:v>
      </x:c>
      <x:c r="H710" s="5" t="str">
        <x:v>Measured usage</x:v>
      </x:c>
      <x:c r="I710" s="5" t="n">
        <x:v>28</x:v>
      </x:c>
      <x:c r="J710" s="5" t="n">
        <x:v>0</x:v>
      </x:c>
      <x:c r="K710" s="5" t="str">
        <x:v>attempts/family</x:v>
      </x:c>
      <x:c r="L710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1" ht="44" hidden="0" customHeight="1">
      <x:c r="A711" s="5" t="str">
        <x:v>paired_full</x:v>
      </x:c>
      <x:c r="B711" s="5" t="str">
        <x:v>holdout</x:v>
      </x:c>
      <x:c r="C711" s="5" t="str">
        <x:v>D2_ARCHIVED</x:v>
      </x:c>
      <x:c r="D711" s="5" t="str">
        <x:v>mean_known_usage_cost_usd_per_family</x:v>
      </x:c>
      <x:c r="E711" s="5"/>
      <x:c r="F711" s="5"/>
      <x:c r="G711" s="11" t="str">
        <x:f>IF(COUNTBLANK(E711:F711)&gt;0,"N/A",IF(F711=0,"N/A",E711/F711))</x:f>
        <x:v>N/A</x:v>
      </x:c>
      <x:c r="H711" s="5" t="str">
        <x:v>N/A local cost unknown</x:v>
      </x:c>
      <x:c r="I711" s="5" t="n">
        <x:v>40</x:v>
      </x:c>
      <x:c r="J711" s="5" t="n">
        <x:v>0</x:v>
      </x:c>
      <x:c r="K711" s="5" t="str">
        <x:v>USD/family</x:v>
      </x:c>
      <x:c r="L711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2" ht="44" hidden="0" customHeight="1">
      <x:c r="A712" s="5" t="str">
        <x:v>paired_full</x:v>
      </x:c>
      <x:c r="B712" s="5" t="str">
        <x:v>holdout</x:v>
      </x:c>
      <x:c r="C712" s="5" t="str">
        <x:v>D2_ARCHIVED</x:v>
      </x:c>
      <x:c r="D712" s="5" t="str">
        <x:v>mean_known_usage_cost_usd_per_response</x:v>
      </x:c>
      <x:c r="E712" s="5"/>
      <x:c r="F712" s="5"/>
      <x:c r="G712" s="11" t="str">
        <x:f>IF(COUNTBLANK(E712:F712)&gt;0,"N/A",IF(F712=0,"N/A",E712/F712))</x:f>
        <x:v>N/A</x:v>
      </x:c>
      <x:c r="H712" s="5" t="str">
        <x:v>N/A local cost unknown</x:v>
      </x:c>
      <x:c r="I712" s="5" t="n">
        <x:v>40</x:v>
      </x:c>
      <x:c r="J712" s="5" t="n">
        <x:v>0</x:v>
      </x:c>
      <x:c r="K712" s="5" t="str">
        <x:v>USD/response</x:v>
      </x:c>
      <x:c r="L712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3" ht="44" hidden="0" customHeight="1">
      <x:c r="A713" s="5" t="str">
        <x:v>paired_full</x:v>
      </x:c>
      <x:c r="B713" s="5" t="str">
        <x:v>holdout</x:v>
      </x:c>
      <x:c r="C713" s="5" t="str">
        <x:v>D2_ARCHIVED</x:v>
      </x:c>
      <x:c r="D713" s="5" t="str">
        <x:v>calls_per_family</x:v>
      </x:c>
      <x:c r="E713" s="5"/>
      <x:c r="F713" s="5"/>
      <x:c r="G713" s="11" t="str">
        <x:f>IF(COUNTBLANK(E713:F713)&gt;0,"N/A",IF(F713=0,"N/A",E713/F713))</x:f>
        <x:v>N/A</x:v>
      </x:c>
      <x:c r="H713" s="5" t="str">
        <x:v>N/A local cost unknown</x:v>
      </x:c>
      <x:c r="I713" s="5" t="n">
        <x:v>40</x:v>
      </x:c>
      <x:c r="J713" s="5" t="n">
        <x:v>0</x:v>
      </x:c>
      <x:c r="K713" s="5" t="str">
        <x:v>attempts/family</x:v>
      </x:c>
      <x:c r="L713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4" ht="44" hidden="0" customHeight="1">
      <x:c r="A714" s="5" t="str">
        <x:v>paired_full</x:v>
      </x:c>
      <x:c r="B714" s="5" t="str">
        <x:v>holdout</x:v>
      </x:c>
      <x:c r="C714" s="5" t="str">
        <x:v>D3_FIDELITY</x:v>
      </x:c>
      <x:c r="D714" s="5" t="str">
        <x:v>mean_known_usage_cost_usd_per_family</x:v>
      </x:c>
      <x:c r="E714" s="5" t="n">
        <x:v>0.092475648</x:v>
      </x:c>
      <x:c r="F714" s="5" t="n">
        <x:v>40</x:v>
      </x:c>
      <x:c r="G714" s="11" t="n">
        <x:f>IF(COUNTBLANK(E714:F714)&gt;0,"N/A",IF(F714=0,"N/A",E714/F714))</x:f>
        <x:v>0.0023118912</x:v>
      </x:c>
      <x:c r="H714" s="5" t="str">
        <x:v>Measured usage</x:v>
      </x:c>
      <x:c r="I714" s="5" t="n">
        <x:v>40</x:v>
      </x:c>
      <x:c r="J714" s="5" t="n">
        <x:v>0</x:v>
      </x:c>
      <x:c r="K714" s="5" t="str">
        <x:v>USD/family</x:v>
      </x:c>
      <x:c r="L714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5" ht="44" hidden="0" customHeight="1">
      <x:c r="A715" s="5" t="str">
        <x:v>paired_full</x:v>
      </x:c>
      <x:c r="B715" s="5" t="str">
        <x:v>holdout</x:v>
      </x:c>
      <x:c r="C715" s="5" t="str">
        <x:v>D3_FIDELITY</x:v>
      </x:c>
      <x:c r="D715" s="5" t="str">
        <x:v>mean_known_usage_cost_usd_per_response</x:v>
      </x:c>
      <x:c r="E715" s="5" t="n">
        <x:v>0.092475648</x:v>
      </x:c>
      <x:c r="F715" s="5" t="n">
        <x:v>87</x:v>
      </x:c>
      <x:c r="G715" s="11" t="n">
        <x:f>IF(COUNTBLANK(E715:F715)&gt;0,"N/A",IF(F715=0,"N/A",E715/F715))</x:f>
        <x:v>0.0010629384827586207</x:v>
      </x:c>
      <x:c r="H715" s="5" t="str">
        <x:v>Measured usage</x:v>
      </x:c>
      <x:c r="I715" s="5" t="n">
        <x:v>40</x:v>
      </x:c>
      <x:c r="J715" s="5" t="n">
        <x:v>0</x:v>
      </x:c>
      <x:c r="K715" s="5" t="str">
        <x:v>USD/response</x:v>
      </x:c>
      <x:c r="L715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6" ht="44" hidden="0" customHeight="1">
      <x:c r="A716" s="5" t="str">
        <x:v>paired_full</x:v>
      </x:c>
      <x:c r="B716" s="5" t="str">
        <x:v>holdout</x:v>
      </x:c>
      <x:c r="C716" s="5" t="str">
        <x:v>D3_FIDELITY</x:v>
      </x:c>
      <x:c r="D716" s="5" t="str">
        <x:v>calls_per_family</x:v>
      </x:c>
      <x:c r="E716" s="5" t="n">
        <x:v>87</x:v>
      </x:c>
      <x:c r="F716" s="5" t="n">
        <x:v>40</x:v>
      </x:c>
      <x:c r="G716" s="11" t="n">
        <x:f>IF(COUNTBLANK(E716:F716)&gt;0,"N/A",IF(F716=0,"N/A",E716/F716))</x:f>
        <x:v>2.175</x:v>
      </x:c>
      <x:c r="H716" s="5" t="str">
        <x:v>Measured usage</x:v>
      </x:c>
      <x:c r="I716" s="5" t="n">
        <x:v>40</x:v>
      </x:c>
      <x:c r="J716" s="5" t="n">
        <x:v>0</x:v>
      </x:c>
      <x:c r="K716" s="5" t="str">
        <x:v>attempts/family</x:v>
      </x:c>
      <x:c r="L716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7" ht="44" hidden="0" customHeight="1">
      <x:c r="A717" s="5" t="str">
        <x:v>paired_full</x:v>
      </x:c>
      <x:c r="B717" s="5" t="str">
        <x:v>holdout</x:v>
      </x:c>
      <x:c r="C717" s="5" t="str">
        <x:v>D3_EVIDENCE</x:v>
      </x:c>
      <x:c r="D717" s="5" t="str">
        <x:v>mean_known_usage_cost_usd_per_family</x:v>
      </x:c>
      <x:c r="E717" s="5" t="n">
        <x:v>0.170909916</x:v>
      </x:c>
      <x:c r="F717" s="5" t="n">
        <x:v>40</x:v>
      </x:c>
      <x:c r="G717" s="11" t="n">
        <x:f>IF(COUNTBLANK(E717:F717)&gt;0,"N/A",IF(F717=0,"N/A",E717/F717))</x:f>
        <x:v>0.0042727479</x:v>
      </x:c>
      <x:c r="H717" s="5" t="str">
        <x:v>Measured usage</x:v>
      </x:c>
      <x:c r="I717" s="5" t="n">
        <x:v>40</x:v>
      </x:c>
      <x:c r="J717" s="5" t="n">
        <x:v>0</x:v>
      </x:c>
      <x:c r="K717" s="5" t="str">
        <x:v>USD/family</x:v>
      </x:c>
      <x:c r="L717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8" ht="44" hidden="0" customHeight="1">
      <x:c r="A718" s="5" t="str">
        <x:v>paired_full</x:v>
      </x:c>
      <x:c r="B718" s="5" t="str">
        <x:v>holdout</x:v>
      </x:c>
      <x:c r="C718" s="5" t="str">
        <x:v>D3_EVIDENCE</x:v>
      </x:c>
      <x:c r="D718" s="5" t="str">
        <x:v>mean_known_usage_cost_usd_per_response</x:v>
      </x:c>
      <x:c r="E718" s="5" t="n">
        <x:v>0.170909916</x:v>
      </x:c>
      <x:c r="F718" s="5" t="n">
        <x:v>137</x:v>
      </x:c>
      <x:c r="G718" s="11" t="n">
        <x:f>IF(COUNTBLANK(E718:F718)&gt;0,"N/A",IF(F718=0,"N/A",E718/F718))</x:f>
        <x:v>0.0012475176350364963</x:v>
      </x:c>
      <x:c r="H718" s="5" t="str">
        <x:v>Measured usage</x:v>
      </x:c>
      <x:c r="I718" s="5" t="n">
        <x:v>40</x:v>
      </x:c>
      <x:c r="J718" s="5" t="n">
        <x:v>0</x:v>
      </x:c>
      <x:c r="K718" s="5" t="str">
        <x:v>USD/response</x:v>
      </x:c>
      <x:c r="L718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19" ht="44" hidden="0" customHeight="1">
      <x:c r="A719" s="5" t="str">
        <x:v>paired_full</x:v>
      </x:c>
      <x:c r="B719" s="5" t="str">
        <x:v>holdout</x:v>
      </x:c>
      <x:c r="C719" s="5" t="str">
        <x:v>D3_EVIDENCE</x:v>
      </x:c>
      <x:c r="D719" s="5" t="str">
        <x:v>calls_per_family</x:v>
      </x:c>
      <x:c r="E719" s="5" t="n">
        <x:v>137</x:v>
      </x:c>
      <x:c r="F719" s="5" t="n">
        <x:v>40</x:v>
      </x:c>
      <x:c r="G719" s="11" t="n">
        <x:f>IF(COUNTBLANK(E719:F719)&gt;0,"N/A",IF(F719=0,"N/A",E719/F719))</x:f>
        <x:v>3.425</x:v>
      </x:c>
      <x:c r="H719" s="5" t="str">
        <x:v>Measured usage</x:v>
      </x:c>
      <x:c r="I719" s="5" t="n">
        <x:v>40</x:v>
      </x:c>
      <x:c r="J719" s="5" t="n">
        <x:v>0</x:v>
      </x:c>
      <x:c r="K719" s="5" t="str">
        <x:v>attempts/family</x:v>
      </x:c>
      <x:c r="L719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0" ht="44" hidden="0" customHeight="1">
      <x:c r="A720" s="5" t="str">
        <x:v>paired_full</x:v>
      </x:c>
      <x:c r="B720" s="5" t="str">
        <x:v>holdout</x:v>
      </x:c>
      <x:c r="C720" s="5" t="str">
        <x:v>D3_FULL</x:v>
      </x:c>
      <x:c r="D720" s="5" t="str">
        <x:v>mean_known_usage_cost_usd_per_family</x:v>
      </x:c>
      <x:c r="E720" s="5" t="n">
        <x:v>0.204691032</x:v>
      </x:c>
      <x:c r="F720" s="5" t="n">
        <x:v>40</x:v>
      </x:c>
      <x:c r="G720" s="11" t="n">
        <x:f>IF(COUNTBLANK(E720:F720)&gt;0,"N/A",IF(F720=0,"N/A",E720/F720))</x:f>
        <x:v>0.0051172757999999995</x:v>
      </x:c>
      <x:c r="H720" s="5" t="str">
        <x:v>Measured usage</x:v>
      </x:c>
      <x:c r="I720" s="5" t="n">
        <x:v>40</x:v>
      </x:c>
      <x:c r="J720" s="5" t="n">
        <x:v>0</x:v>
      </x:c>
      <x:c r="K720" s="5" t="str">
        <x:v>USD/family</x:v>
      </x:c>
      <x:c r="L720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1" ht="44" hidden="0" customHeight="1">
      <x:c r="A721" s="5" t="str">
        <x:v>paired_full</x:v>
      </x:c>
      <x:c r="B721" s="5" t="str">
        <x:v>holdout</x:v>
      </x:c>
      <x:c r="C721" s="5" t="str">
        <x:v>D3_FULL</x:v>
      </x:c>
      <x:c r="D721" s="5" t="str">
        <x:v>mean_known_usage_cost_usd_per_response</x:v>
      </x:c>
      <x:c r="E721" s="5" t="n">
        <x:v>0.204691032</x:v>
      </x:c>
      <x:c r="F721" s="5" t="n">
        <x:v>177</x:v>
      </x:c>
      <x:c r="G721" s="11" t="n">
        <x:f>IF(COUNTBLANK(E721:F721)&gt;0,"N/A",IF(F721=0,"N/A",E721/F721))</x:f>
        <x:v>0.0011564465084745762</x:v>
      </x:c>
      <x:c r="H721" s="5" t="str">
        <x:v>Measured usage</x:v>
      </x:c>
      <x:c r="I721" s="5" t="n">
        <x:v>40</x:v>
      </x:c>
      <x:c r="J721" s="5" t="n">
        <x:v>0</x:v>
      </x:c>
      <x:c r="K721" s="5" t="str">
        <x:v>USD/response</x:v>
      </x:c>
      <x:c r="L721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2" ht="44" hidden="0" customHeight="1">
      <x:c r="A722" s="5" t="str">
        <x:v>paired_full</x:v>
      </x:c>
      <x:c r="B722" s="5" t="str">
        <x:v>holdout</x:v>
      </x:c>
      <x:c r="C722" s="5" t="str">
        <x:v>D3_FULL</x:v>
      </x:c>
      <x:c r="D722" s="5" t="str">
        <x:v>calls_per_family</x:v>
      </x:c>
      <x:c r="E722" s="5" t="n">
        <x:v>177</x:v>
      </x:c>
      <x:c r="F722" s="5" t="n">
        <x:v>40</x:v>
      </x:c>
      <x:c r="G722" s="11" t="n">
        <x:f>IF(COUNTBLANK(E722:F722)&gt;0,"N/A",IF(F722=0,"N/A",E722/F722))</x:f>
        <x:v>4.425</x:v>
      </x:c>
      <x:c r="H722" s="5" t="str">
        <x:v>Measured usage</x:v>
      </x:c>
      <x:c r="I722" s="5" t="n">
        <x:v>40</x:v>
      </x:c>
      <x:c r="J722" s="5" t="n">
        <x:v>0</x:v>
      </x:c>
      <x:c r="K722" s="5" t="str">
        <x:v>attempts/family</x:v>
      </x:c>
      <x:c r="L722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3" ht="44" hidden="0" customHeight="1">
      <x:c r="A723" s="5" t="str">
        <x:v>paired_ablation</x:v>
      </x:c>
      <x:c r="B723" s="5" t="str">
        <x:v>holdout</x:v>
      </x:c>
      <x:c r="C723" s="5" t="str">
        <x:v>D2_ARCHIVED</x:v>
      </x:c>
      <x:c r="D723" s="5" t="str">
        <x:v>mean_known_usage_cost_usd_per_family</x:v>
      </x:c>
      <x:c r="E723" s="5"/>
      <x:c r="F723" s="5"/>
      <x:c r="G723" s="11" t="str">
        <x:f>IF(COUNTBLANK(E723:F723)&gt;0,"N/A",IF(F723=0,"N/A",E723/F723))</x:f>
        <x:v>N/A</x:v>
      </x:c>
      <x:c r="H723" s="5" t="str">
        <x:v>N/A local cost unknown</x:v>
      </x:c>
      <x:c r="I723" s="5" t="n">
        <x:v>39</x:v>
      </x:c>
      <x:c r="J723" s="5" t="n">
        <x:v>0</x:v>
      </x:c>
      <x:c r="K723" s="5" t="str">
        <x:v>USD/family</x:v>
      </x:c>
      <x:c r="L723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4" ht="44" hidden="0" customHeight="1">
      <x:c r="A724" s="5" t="str">
        <x:v>paired_ablation</x:v>
      </x:c>
      <x:c r="B724" s="5" t="str">
        <x:v>holdout</x:v>
      </x:c>
      <x:c r="C724" s="5" t="str">
        <x:v>D2_ARCHIVED</x:v>
      </x:c>
      <x:c r="D724" s="5" t="str">
        <x:v>mean_known_usage_cost_usd_per_response</x:v>
      </x:c>
      <x:c r="E724" s="5"/>
      <x:c r="F724" s="5"/>
      <x:c r="G724" s="11" t="str">
        <x:f>IF(COUNTBLANK(E724:F724)&gt;0,"N/A",IF(F724=0,"N/A",E724/F724))</x:f>
        <x:v>N/A</x:v>
      </x:c>
      <x:c r="H724" s="5" t="str">
        <x:v>N/A local cost unknown</x:v>
      </x:c>
      <x:c r="I724" s="5" t="n">
        <x:v>39</x:v>
      </x:c>
      <x:c r="J724" s="5" t="n">
        <x:v>0</x:v>
      </x:c>
      <x:c r="K724" s="5" t="str">
        <x:v>USD/response</x:v>
      </x:c>
      <x:c r="L724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5" ht="44" hidden="0" customHeight="1">
      <x:c r="A725" s="5" t="str">
        <x:v>paired_ablation</x:v>
      </x:c>
      <x:c r="B725" s="5" t="str">
        <x:v>holdout</x:v>
      </x:c>
      <x:c r="C725" s="5" t="str">
        <x:v>D2_ARCHIVED</x:v>
      </x:c>
      <x:c r="D725" s="5" t="str">
        <x:v>calls_per_family</x:v>
      </x:c>
      <x:c r="E725" s="5"/>
      <x:c r="F725" s="5"/>
      <x:c r="G725" s="11" t="str">
        <x:f>IF(COUNTBLANK(E725:F725)&gt;0,"N/A",IF(F725=0,"N/A",E725/F725))</x:f>
        <x:v>N/A</x:v>
      </x:c>
      <x:c r="H725" s="5" t="str">
        <x:v>N/A local cost unknown</x:v>
      </x:c>
      <x:c r="I725" s="5" t="n">
        <x:v>39</x:v>
      </x:c>
      <x:c r="J725" s="5" t="n">
        <x:v>0</x:v>
      </x:c>
      <x:c r="K725" s="5" t="str">
        <x:v>attempts/family</x:v>
      </x:c>
      <x:c r="L725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6" ht="44" hidden="0" customHeight="1">
      <x:c r="A726" s="5" t="str">
        <x:v>paired_ablation</x:v>
      </x:c>
      <x:c r="B726" s="5" t="str">
        <x:v>holdout</x:v>
      </x:c>
      <x:c r="C726" s="5" t="str">
        <x:v>D2_DEEPSEEK_REPLAY</x:v>
      </x:c>
      <x:c r="D726" s="5" t="str">
        <x:v>mean_known_usage_cost_usd_per_family</x:v>
      </x:c>
      <x:c r="E726" s="5" t="n">
        <x:v>0.021747719999999998</x:v>
      </x:c>
      <x:c r="F726" s="5" t="n">
        <x:v>39</x:v>
      </x:c>
      <x:c r="G726" s="11" t="n">
        <x:f>IF(COUNTBLANK(E726:F726)&gt;0,"N/A",IF(F726=0,"N/A",E726/F726))</x:f>
        <x:v>0.0005576338461538461</x:v>
      </x:c>
      <x:c r="H726" s="5" t="str">
        <x:v>Measured usage</x:v>
      </x:c>
      <x:c r="I726" s="5" t="n">
        <x:v>39</x:v>
      </x:c>
      <x:c r="J726" s="5" t="n">
        <x:v>0</x:v>
      </x:c>
      <x:c r="K726" s="5" t="str">
        <x:v>USD/family</x:v>
      </x:c>
      <x:c r="L726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7" ht="44" hidden="0" customHeight="1">
      <x:c r="A727" s="5" t="str">
        <x:v>paired_ablation</x:v>
      </x:c>
      <x:c r="B727" s="5" t="str">
        <x:v>holdout</x:v>
      </x:c>
      <x:c r="C727" s="5" t="str">
        <x:v>D2_DEEPSEEK_REPLAY</x:v>
      </x:c>
      <x:c r="D727" s="5" t="str">
        <x:v>mean_known_usage_cost_usd_per_response</x:v>
      </x:c>
      <x:c r="E727" s="5" t="n">
        <x:v>0.021747719999999998</x:v>
      </x:c>
      <x:c r="F727" s="5" t="n">
        <x:v>39</x:v>
      </x:c>
      <x:c r="G727" s="11" t="n">
        <x:f>IF(COUNTBLANK(E727:F727)&gt;0,"N/A",IF(F727=0,"N/A",E727/F727))</x:f>
        <x:v>0.0005576338461538461</x:v>
      </x:c>
      <x:c r="H727" s="5" t="str">
        <x:v>Measured usage</x:v>
      </x:c>
      <x:c r="I727" s="5" t="n">
        <x:v>39</x:v>
      </x:c>
      <x:c r="J727" s="5" t="n">
        <x:v>0</x:v>
      </x:c>
      <x:c r="K727" s="5" t="str">
        <x:v>USD/response</x:v>
      </x:c>
      <x:c r="L727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8" ht="44" hidden="0" customHeight="1">
      <x:c r="A728" s="5" t="str">
        <x:v>paired_ablation</x:v>
      </x:c>
      <x:c r="B728" s="5" t="str">
        <x:v>holdout</x:v>
      </x:c>
      <x:c r="C728" s="5" t="str">
        <x:v>D2_DEEPSEEK_REPLAY</x:v>
      </x:c>
      <x:c r="D728" s="5" t="str">
        <x:v>calls_per_family</x:v>
      </x:c>
      <x:c r="E728" s="5" t="n">
        <x:v>39</x:v>
      </x:c>
      <x:c r="F728" s="5" t="n">
        <x:v>39</x:v>
      </x:c>
      <x:c r="G728" s="11" t="n">
        <x:f>IF(COUNTBLANK(E728:F728)&gt;0,"N/A",IF(F728=0,"N/A",E728/F728))</x:f>
        <x:v>1</x:v>
      </x:c>
      <x:c r="H728" s="5" t="str">
        <x:v>Measured usage</x:v>
      </x:c>
      <x:c r="I728" s="5" t="n">
        <x:v>39</x:v>
      </x:c>
      <x:c r="J728" s="5" t="n">
        <x:v>0</x:v>
      </x:c>
      <x:c r="K728" s="5" t="str">
        <x:v>attempts/family</x:v>
      </x:c>
      <x:c r="L728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29" ht="44" hidden="0" customHeight="1">
      <x:c r="A729" s="5" t="str">
        <x:v>paired_ablation</x:v>
      </x:c>
      <x:c r="B729" s="5" t="str">
        <x:v>holdout</x:v>
      </x:c>
      <x:c r="C729" s="5" t="str">
        <x:v>D3_EXTRACT_ONLY</x:v>
      </x:c>
      <x:c r="D729" s="5" t="str">
        <x:v>mean_known_usage_cost_usd_per_family</x:v>
      </x:c>
      <x:c r="E729" s="5" t="n">
        <x:v>0.036412836</x:v>
      </x:c>
      <x:c r="F729" s="5" t="n">
        <x:v>39</x:v>
      </x:c>
      <x:c r="G729" s="11" t="n">
        <x:f>IF(COUNTBLANK(E729:F729)&gt;0,"N/A",IF(F729=0,"N/A",E729/F729))</x:f>
        <x:v>0.0009336624615384615</x:v>
      </x:c>
      <x:c r="H729" s="5" t="str">
        <x:v>Measured usage</x:v>
      </x:c>
      <x:c r="I729" s="5" t="n">
        <x:v>39</x:v>
      </x:c>
      <x:c r="J729" s="5" t="n">
        <x:v>0</x:v>
      </x:c>
      <x:c r="K729" s="5" t="str">
        <x:v>USD/family</x:v>
      </x:c>
      <x:c r="L729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0" ht="44" hidden="0" customHeight="1">
      <x:c r="A730" s="5" t="str">
        <x:v>paired_ablation</x:v>
      </x:c>
      <x:c r="B730" s="5" t="str">
        <x:v>holdout</x:v>
      </x:c>
      <x:c r="C730" s="5" t="str">
        <x:v>D3_EXTRACT_ONLY</x:v>
      </x:c>
      <x:c r="D730" s="5" t="str">
        <x:v>mean_known_usage_cost_usd_per_response</x:v>
      </x:c>
      <x:c r="E730" s="5" t="n">
        <x:v>0.036412836</x:v>
      </x:c>
      <x:c r="F730" s="5" t="n">
        <x:v>50</x:v>
      </x:c>
      <x:c r="G730" s="11" t="n">
        <x:f>IF(COUNTBLANK(E730:F730)&gt;0,"N/A",IF(F730=0,"N/A",E730/F730))</x:f>
        <x:v>0.00072825672</x:v>
      </x:c>
      <x:c r="H730" s="5" t="str">
        <x:v>Measured usage</x:v>
      </x:c>
      <x:c r="I730" s="5" t="n">
        <x:v>39</x:v>
      </x:c>
      <x:c r="J730" s="5" t="n">
        <x:v>0</x:v>
      </x:c>
      <x:c r="K730" s="5" t="str">
        <x:v>USD/response</x:v>
      </x:c>
      <x:c r="L730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1" ht="44" hidden="0" customHeight="1">
      <x:c r="A731" s="5" t="str">
        <x:v>paired_ablation</x:v>
      </x:c>
      <x:c r="B731" s="5" t="str">
        <x:v>holdout</x:v>
      </x:c>
      <x:c r="C731" s="5" t="str">
        <x:v>D3_EXTRACT_ONLY</x:v>
      </x:c>
      <x:c r="D731" s="5" t="str">
        <x:v>calls_per_family</x:v>
      </x:c>
      <x:c r="E731" s="5" t="n">
        <x:v>50</x:v>
      </x:c>
      <x:c r="F731" s="5" t="n">
        <x:v>39</x:v>
      </x:c>
      <x:c r="G731" s="11" t="n">
        <x:f>IF(COUNTBLANK(E731:F731)&gt;0,"N/A",IF(F731=0,"N/A",E731/F731))</x:f>
        <x:v>1.2820512820512822</x:v>
      </x:c>
      <x:c r="H731" s="5" t="str">
        <x:v>Measured usage</x:v>
      </x:c>
      <x:c r="I731" s="5" t="n">
        <x:v>39</x:v>
      </x:c>
      <x:c r="J731" s="5" t="n">
        <x:v>0</x:v>
      </x:c>
      <x:c r="K731" s="5" t="str">
        <x:v>attempts/family</x:v>
      </x:c>
      <x:c r="L731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2" ht="44" hidden="0" customHeight="1">
      <x:c r="A732" s="5" t="str">
        <x:v>paired_ablation</x:v>
      </x:c>
      <x:c r="B732" s="5" t="str">
        <x:v>holdout</x:v>
      </x:c>
      <x:c r="C732" s="5" t="str">
        <x:v>D3_FIDELITY</x:v>
      </x:c>
      <x:c r="D732" s="5" t="str">
        <x:v>mean_known_usage_cost_usd_per_family</x:v>
      </x:c>
      <x:c r="E732" s="5" t="n">
        <x:v>0.08573829599999999</x:v>
      </x:c>
      <x:c r="F732" s="5" t="n">
        <x:v>39</x:v>
      </x:c>
      <x:c r="G732" s="11" t="n">
        <x:f>IF(COUNTBLANK(E732:F732)&gt;0,"N/A",IF(F732=0,"N/A",E732/F732))</x:f>
        <x:v>0.002198417846153846</x:v>
      </x:c>
      <x:c r="H732" s="5" t="str">
        <x:v>Measured usage</x:v>
      </x:c>
      <x:c r="I732" s="5" t="n">
        <x:v>39</x:v>
      </x:c>
      <x:c r="J732" s="5" t="n">
        <x:v>0</x:v>
      </x:c>
      <x:c r="K732" s="5" t="str">
        <x:v>USD/family</x:v>
      </x:c>
      <x:c r="L732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3" ht="44" hidden="0" customHeight="1">
      <x:c r="A733" s="5" t="str">
        <x:v>paired_ablation</x:v>
      </x:c>
      <x:c r="B733" s="5" t="str">
        <x:v>holdout</x:v>
      </x:c>
      <x:c r="C733" s="5" t="str">
        <x:v>D3_FIDELITY</x:v>
      </x:c>
      <x:c r="D733" s="5" t="str">
        <x:v>mean_known_usage_cost_usd_per_response</x:v>
      </x:c>
      <x:c r="E733" s="5" t="n">
        <x:v>0.08573829599999999</x:v>
      </x:c>
      <x:c r="F733" s="5" t="n">
        <x:v>83</x:v>
      </x:c>
      <x:c r="G733" s="11" t="n">
        <x:f>IF(COUNTBLANK(E733:F733)&gt;0,"N/A",IF(F733=0,"N/A",E733/F733))</x:f>
        <x:v>0.001032991518072289</x:v>
      </x:c>
      <x:c r="H733" s="5" t="str">
        <x:v>Measured usage</x:v>
      </x:c>
      <x:c r="I733" s="5" t="n">
        <x:v>39</x:v>
      </x:c>
      <x:c r="J733" s="5" t="n">
        <x:v>0</x:v>
      </x:c>
      <x:c r="K733" s="5" t="str">
        <x:v>USD/response</x:v>
      </x:c>
      <x:c r="L733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4" ht="44" hidden="0" customHeight="1">
      <x:c r="A734" s="5" t="str">
        <x:v>paired_ablation</x:v>
      </x:c>
      <x:c r="B734" s="5" t="str">
        <x:v>holdout</x:v>
      </x:c>
      <x:c r="C734" s="5" t="str">
        <x:v>D3_FIDELITY</x:v>
      </x:c>
      <x:c r="D734" s="5" t="str">
        <x:v>calls_per_family</x:v>
      </x:c>
      <x:c r="E734" s="5" t="n">
        <x:v>83</x:v>
      </x:c>
      <x:c r="F734" s="5" t="n">
        <x:v>39</x:v>
      </x:c>
      <x:c r="G734" s="11" t="n">
        <x:f>IF(COUNTBLANK(E734:F734)&gt;0,"N/A",IF(F734=0,"N/A",E734/F734))</x:f>
        <x:v>2.128205128205128</x:v>
      </x:c>
      <x:c r="H734" s="5" t="str">
        <x:v>Measured usage</x:v>
      </x:c>
      <x:c r="I734" s="5" t="n">
        <x:v>39</x:v>
      </x:c>
      <x:c r="J734" s="5" t="n">
        <x:v>0</x:v>
      </x:c>
      <x:c r="K734" s="5" t="str">
        <x:v>attempts/family</x:v>
      </x:c>
      <x:c r="L734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5" ht="44" hidden="0" customHeight="1">
      <x:c r="A735" s="5" t="str">
        <x:v>paired_ablation</x:v>
      </x:c>
      <x:c r="B735" s="5" t="str">
        <x:v>holdout</x:v>
      </x:c>
      <x:c r="C735" s="5" t="str">
        <x:v>D3_EVIDENCE</x:v>
      </x:c>
      <x:c r="D735" s="5" t="str">
        <x:v>mean_known_usage_cost_usd_per_family</x:v>
      </x:c>
      <x:c r="E735" s="5" t="n">
        <x:v>0.16188191999999998</x:v>
      </x:c>
      <x:c r="F735" s="5" t="n">
        <x:v>39</x:v>
      </x:c>
      <x:c r="G735" s="11" t="n">
        <x:f>IF(COUNTBLANK(E735:F735)&gt;0,"N/A",IF(F735=0,"N/A",E735/F735))</x:f>
        <x:v>0.004150818461538461</x:v>
      </x:c>
      <x:c r="H735" s="5" t="str">
        <x:v>Measured usage</x:v>
      </x:c>
      <x:c r="I735" s="5" t="n">
        <x:v>39</x:v>
      </x:c>
      <x:c r="J735" s="5" t="n">
        <x:v>0</x:v>
      </x:c>
      <x:c r="K735" s="5" t="str">
        <x:v>USD/family</x:v>
      </x:c>
      <x:c r="L735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6" ht="44" hidden="0" customHeight="1">
      <x:c r="A736" s="5" t="str">
        <x:v>paired_ablation</x:v>
      </x:c>
      <x:c r="B736" s="5" t="str">
        <x:v>holdout</x:v>
      </x:c>
      <x:c r="C736" s="5" t="str">
        <x:v>D3_EVIDENCE</x:v>
      </x:c>
      <x:c r="D736" s="5" t="str">
        <x:v>mean_known_usage_cost_usd_per_response</x:v>
      </x:c>
      <x:c r="E736" s="5" t="n">
        <x:v>0.16188191999999998</x:v>
      </x:c>
      <x:c r="F736" s="5" t="n">
        <x:v>132</x:v>
      </x:c>
      <x:c r="G736" s="11" t="n">
        <x:f>IF(COUNTBLANK(E736:F736)&gt;0,"N/A",IF(F736=0,"N/A",E736/F736))</x:f>
        <x:v>0.0012263781818181818</x:v>
      </x:c>
      <x:c r="H736" s="5" t="str">
        <x:v>Measured usage</x:v>
      </x:c>
      <x:c r="I736" s="5" t="n">
        <x:v>39</x:v>
      </x:c>
      <x:c r="J736" s="5" t="n">
        <x:v>0</x:v>
      </x:c>
      <x:c r="K736" s="5" t="str">
        <x:v>USD/response</x:v>
      </x:c>
      <x:c r="L736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7" ht="44" hidden="0" customHeight="1">
      <x:c r="A737" s="5" t="str">
        <x:v>paired_ablation</x:v>
      </x:c>
      <x:c r="B737" s="5" t="str">
        <x:v>holdout</x:v>
      </x:c>
      <x:c r="C737" s="5" t="str">
        <x:v>D3_EVIDENCE</x:v>
      </x:c>
      <x:c r="D737" s="5" t="str">
        <x:v>calls_per_family</x:v>
      </x:c>
      <x:c r="E737" s="5" t="n">
        <x:v>132</x:v>
      </x:c>
      <x:c r="F737" s="5" t="n">
        <x:v>39</x:v>
      </x:c>
      <x:c r="G737" s="11" t="n">
        <x:f>IF(COUNTBLANK(E737:F737)&gt;0,"N/A",IF(F737=0,"N/A",E737/F737))</x:f>
        <x:v>3.3846153846153846</x:v>
      </x:c>
      <x:c r="H737" s="5" t="str">
        <x:v>Measured usage</x:v>
      </x:c>
      <x:c r="I737" s="5" t="n">
        <x:v>39</x:v>
      </x:c>
      <x:c r="J737" s="5" t="n">
        <x:v>0</x:v>
      </x:c>
      <x:c r="K737" s="5" t="str">
        <x:v>attempts/family</x:v>
      </x:c>
      <x:c r="L737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8" ht="44" hidden="0" customHeight="1">
      <x:c r="A738" s="5" t="str">
        <x:v>paired_ablation</x:v>
      </x:c>
      <x:c r="B738" s="5" t="str">
        <x:v>holdout</x:v>
      </x:c>
      <x:c r="C738" s="5" t="str">
        <x:v>D3_FULL</x:v>
      </x:c>
      <x:c r="D738" s="5" t="str">
        <x:v>mean_known_usage_cost_usd_per_family</x:v>
      </x:c>
      <x:c r="E738" s="5" t="n">
        <x:v>0.19449999599999998</x:v>
      </x:c>
      <x:c r="F738" s="5" t="n">
        <x:v>39</x:v>
      </x:c>
      <x:c r="G738" s="11" t="n">
        <x:f>IF(COUNTBLANK(E738:F738)&gt;0,"N/A",IF(F738=0,"N/A",E738/F738))</x:f>
        <x:v>0.004987179384615384</x:v>
      </x:c>
      <x:c r="H738" s="5" t="str">
        <x:v>Measured usage</x:v>
      </x:c>
      <x:c r="I738" s="5" t="n">
        <x:v>39</x:v>
      </x:c>
      <x:c r="J738" s="5" t="n">
        <x:v>0</x:v>
      </x:c>
      <x:c r="K738" s="5" t="str">
        <x:v>USD/family</x:v>
      </x:c>
      <x:c r="L738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39" ht="44" hidden="0" customHeight="1">
      <x:c r="A739" s="5" t="str">
        <x:v>paired_ablation</x:v>
      </x:c>
      <x:c r="B739" s="5" t="str">
        <x:v>holdout</x:v>
      </x:c>
      <x:c r="C739" s="5" t="str">
        <x:v>D3_FULL</x:v>
      </x:c>
      <x:c r="D739" s="5" t="str">
        <x:v>mean_known_usage_cost_usd_per_response</x:v>
      </x:c>
      <x:c r="E739" s="5" t="n">
        <x:v>0.19449999599999998</x:v>
      </x:c>
      <x:c r="F739" s="5" t="n">
        <x:v>171</x:v>
      </x:c>
      <x:c r="G739" s="11" t="n">
        <x:f>IF(COUNTBLANK(E739:F739)&gt;0,"N/A",IF(F739=0,"N/A",E739/F739))</x:f>
        <x:v>0.0011374268771929823</x:v>
      </x:c>
      <x:c r="H739" s="5" t="str">
        <x:v>Measured usage</x:v>
      </x:c>
      <x:c r="I739" s="5" t="n">
        <x:v>39</x:v>
      </x:c>
      <x:c r="J739" s="5" t="n">
        <x:v>0</x:v>
      </x:c>
      <x:c r="K739" s="5" t="str">
        <x:v>USD/response</x:v>
      </x:c>
      <x:c r="L739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  <x:row r="740" ht="44" hidden="0" customHeight="1">
      <x:c r="A740" s="5" t="str">
        <x:v>paired_ablation</x:v>
      </x:c>
      <x:c r="B740" s="5" t="str">
        <x:v>holdout</x:v>
      </x:c>
      <x:c r="C740" s="5" t="str">
        <x:v>D3_FULL</x:v>
      </x:c>
      <x:c r="D740" s="5" t="str">
        <x:v>calls_per_family</x:v>
      </x:c>
      <x:c r="E740" s="5" t="n">
        <x:v>171</x:v>
      </x:c>
      <x:c r="F740" s="5" t="n">
        <x:v>39</x:v>
      </x:c>
      <x:c r="G740" s="11" t="n">
        <x:f>IF(COUNTBLANK(E740:F740)&gt;0,"N/A",IF(F740=0,"N/A",E740/F740))</x:f>
        <x:v>4.384615384615385</x:v>
      </x:c>
      <x:c r="H740" s="5" t="str">
        <x:v>Measured usage</x:v>
      </x:c>
      <x:c r="I740" s="5" t="n">
        <x:v>39</x:v>
      </x:c>
      <x:c r="J740" s="5" t="n">
        <x:v>0</x:v>
      </x:c>
      <x:c r="K740" s="5" t="str">
        <x:v>attempts/family</x:v>
      </x:c>
      <x:c r="L740" s="5" t="str">
        <x:v>Actual current-fingerprint receipt usage at published peak prices. Shared stages are allocated to each config; rows are NOT additive billed spend. Comparator/posthoc costs excluded here and listed in Usage. Missing usage has unknown cost. D2 archived local compute cost unavailable.</x:v>
      </x:c>
    </x:row>
  </x:sheetData>
  <x:conditionalFormatting sqref="A6:L740">
    <x:cfRule type="containsText" dxfId="1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e31053b32dc94e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7" hidden="0" customWidth="1"/>
    <x:col min="4" max="4" width="17" hidden="0" customWidth="1"/>
    <x:col min="5" max="5" width="14" hidden="0" customWidth="1"/>
    <x:col min="6" max="6" width="20" hidden="0" customWidth="1"/>
    <x:col min="7" max="7" width="20" hidden="0" customWidth="1"/>
    <x:col min="8" max="8" width="22" hidden="0" customWidth="1"/>
    <x:col min="9" max="9" width="27" hidden="0" customWidth="1"/>
    <x:col min="10" max="10" width="19" hidden="0" customWidth="1"/>
    <x:col min="11" max="11" width="22" hidden="0" customWidth="1"/>
  </x:cols>
  <x:sheetData>
    <x:row r="2">
      <x:c r="A2" s="1" t="str">
        <x:v>真实调用和费用估算（账单未知）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5" ht="32" customHeight="1">
      <x:c r="A5" s="9" t="str">
        <x:v>阶段</x:v>
      </x:c>
      <x:c r="B5" s="9" t="str">
        <x:v>尝试</x:v>
      </x:c>
      <x:c r="C5" s="9" t="str">
        <x:v>返回usage</x:v>
      </x:c>
      <x:c r="D5" s="9" t="str">
        <x:v>有效输出</x:v>
      </x:c>
      <x:c r="E5" s="9" t="str">
        <x:v>失败</x:v>
      </x:c>
      <x:c r="F5" s="9" t="str">
        <x:v>输入token</x:v>
      </x:c>
      <x:c r="G5" s="9" t="str">
        <x:v>输出token</x:v>
      </x:c>
      <x:c r="H5" s="9" t="str">
        <x:v>缓存命中token</x:v>
      </x:c>
      <x:c r="I5" s="9" t="str">
        <x:v>峰时USD上界估算</x:v>
      </x:c>
      <x:c r="J5" s="9" t="str">
        <x:v>usage缺失</x:v>
      </x:c>
      <x:c r="K5" s="9" t="str">
        <x:v>耗时秒累计</x:v>
      </x:c>
    </x:row>
    <x:row r="6" ht="20" hidden="0" customHeight="1">
      <x:c r="A6" s="5" t="str">
        <x:v>audit</x:v>
      </x:c>
      <x:c r="B6" s="5" t="n">
        <x:v>1248</x:v>
      </x:c>
      <x:c r="C6" s="5" t="n">
        <x:v>1159</x:v>
      </x:c>
      <x:c r="D6" s="5" t="n">
        <x:v>1134</x:v>
      </x:c>
      <x:c r="E6" s="5" t="n">
        <x:v>114</x:v>
      </x:c>
      <x:c r="F6" s="5" t="n">
        <x:v>4212213</x:v>
      </x:c>
      <x:c r="G6" s="5" t="n">
        <x:v>1151099</x:v>
      </x:c>
      <x:c r="H6" s="5" t="n">
        <x:v>1188864</x:v>
      </x:c>
      <x:c r="I6" s="14" t="n">
        <x:v>2.295456684</x:v>
      </x:c>
      <x:c r="J6" s="5" t="n">
        <x:v>89</x:v>
      </x:c>
      <x:c r="K6" s="5" t="n">
        <x:v>6002.476</x:v>
      </x:c>
    </x:row>
    <x:row r="7" ht="20" hidden="0" customHeight="1">
      <x:c r="A7" s="5" t="str">
        <x:v>comparison</x:v>
      </x:c>
      <x:c r="B7" s="5" t="n">
        <x:v>256</x:v>
      </x:c>
      <x:c r="C7" s="5" t="n">
        <x:v>256</x:v>
      </x:c>
      <x:c r="D7" s="5" t="n">
        <x:v>160</x:v>
      </x:c>
      <x:c r="E7" s="5" t="n">
        <x:v>96</x:v>
      </x:c>
      <x:c r="F7" s="5" t="n">
        <x:v>1354995</x:v>
      </x:c>
      <x:c r="G7" s="5" t="n">
        <x:v>351412</x:v>
      </x:c>
      <x:c r="H7" s="5" t="n">
        <x:v>383348</x:v>
      </x:c>
      <x:c r="I7" s="14" t="n">
        <x:v>0.715488588</x:v>
      </x:c>
      <x:c r="J7" s="5" t="n">
        <x:v>0</x:v>
      </x:c>
      <x:c r="K7" s="5" t="n">
        <x:v>1767.315</x:v>
      </x:c>
    </x:row>
    <x:row r="8" ht="20" hidden="0" customHeight="1">
      <x:c r="A8" s="5" t="str">
        <x:v>d2_prompt_replay</x:v>
      </x:c>
      <x:c r="B8" s="5" t="n">
        <x:v>75</x:v>
      </x:c>
      <x:c r="C8" s="5" t="n">
        <x:v>75</x:v>
      </x:c>
      <x:c r="D8" s="5" t="n">
        <x:v>71</x:v>
      </x:c>
      <x:c r="E8" s="5" t="n">
        <x:v>4</x:v>
      </x:c>
      <x:c r="F8" s="5" t="n">
        <x:v>206677</x:v>
      </x:c>
      <x:c r="G8" s="5" t="n">
        <x:v>30182</x:v>
      </x:c>
      <x:c r="H8" s="5" t="n">
        <x:v>150272</x:v>
      </x:c>
      <x:c r="I8" s="14" t="n">
        <x:v>0.054041531999999996</x:v>
      </x:c>
      <x:c r="J8" s="5" t="n">
        <x:v>0</x:v>
      </x:c>
      <x:c r="K8" s="5" t="n">
        <x:v>222.081</x:v>
      </x:c>
    </x:row>
    <x:row r="9" ht="20" hidden="0" customHeight="1">
      <x:c r="A9" s="5" t="str">
        <x:v>d4_merge_test</x:v>
      </x:c>
      <x:c r="B9" s="5" t="n">
        <x:v>138</x:v>
      </x:c>
      <x:c r="C9" s="5" t="n">
        <x:v>138</x:v>
      </x:c>
      <x:c r="D9" s="5" t="n">
        <x:v>0</x:v>
      </x:c>
      <x:c r="E9" s="5" t="n">
        <x:v>138</x:v>
      </x:c>
      <x:c r="F9" s="5" t="n">
        <x:v>501033</x:v>
      </x:c>
      <x:c r="G9" s="5" t="n">
        <x:v>87472</x:v>
      </x:c>
      <x:c r="H9" s="5" t="n">
        <x:v>194810</x:v>
      </x:c>
      <x:c r="I9" s="14" t="n">
        <x:v>0.19800215999999998</x:v>
      </x:c>
      <x:c r="J9" s="5" t="n">
        <x:v>0</x:v>
      </x:c>
      <x:c r="K9" s="5" t="n">
        <x:v>632.32</x:v>
      </x:c>
    </x:row>
    <x:row r="10" ht="20" hidden="0" customHeight="1">
      <x:c r="A10" s="5" t="str">
        <x:v>extract_only</x:v>
      </x:c>
      <x:c r="B10" s="5" t="n">
        <x:v>138</x:v>
      </x:c>
      <x:c r="C10" s="5" t="n">
        <x:v>138</x:v>
      </x:c>
      <x:c r="D10" s="5" t="n">
        <x:v>100</x:v>
      </x:c>
      <x:c r="E10" s="5" t="n">
        <x:v>38</x:v>
      </x:c>
      <x:c r="F10" s="5" t="n">
        <x:v>314586</x:v>
      </x:c>
      <x:c r="G10" s="5" t="n">
        <x:v>88514</x:v>
      </x:c>
      <x:c r="H10" s="5" t="n">
        <x:v>205568</x:v>
      </x:c>
      <x:c r="I10" s="14" t="n">
        <x:v>0.140155608</x:v>
      </x:c>
      <x:c r="J10" s="5" t="n">
        <x:v>0</x:v>
      </x:c>
      <x:c r="K10" s="5" t="n">
        <x:v>515.994</x:v>
      </x:c>
    </x:row>
    <x:row r="11" ht="20" hidden="0" customHeight="1">
      <x:c r="A11" s="5" t="str">
        <x:v>facts</x:v>
      </x:c>
      <x:c r="B11" s="5" t="n">
        <x:v>1675</x:v>
      </x:c>
      <x:c r="C11" s="5" t="n">
        <x:v>1263</x:v>
      </x:c>
      <x:c r="D11" s="5" t="n">
        <x:v>1151</x:v>
      </x:c>
      <x:c r="E11" s="5" t="n">
        <x:v>524</x:v>
      </x:c>
      <x:c r="F11" s="5" t="n">
        <x:v>1764896</x:v>
      </x:c>
      <x:c r="G11" s="5" t="n">
        <x:v>1063371</x:v>
      </x:c>
      <x:c r="H11" s="5" t="n">
        <x:v>1078139</x:v>
      </x:c>
      <x:c r="I11" s="14" t="n">
        <x:v>1.4885411339999999</x:v>
      </x:c>
      <x:c r="J11" s="5" t="n">
        <x:v>412</x:v>
      </x:c>
      <x:c r="K11" s="5" t="n">
        <x:v>6044.484</x:v>
      </x:c>
    </x:row>
    <x:row r="12" ht="20" hidden="0" customHeight="1">
      <x:c r="A12" s="5" t="str">
        <x:v>historical_regression</x:v>
      </x:c>
      <x:c r="B12" s="5" t="n">
        <x:v>55</x:v>
      </x:c>
      <x:c r="C12" s="5" t="n">
        <x:v>55</x:v>
      </x:c>
      <x:c r="D12" s="5" t="n">
        <x:v>45</x:v>
      </x:c>
      <x:c r="E12" s="5" t="n">
        <x:v>10</x:v>
      </x:c>
      <x:c r="F12" s="5" t="n">
        <x:v>196997</x:v>
      </x:c>
      <x:c r="G12" s="5" t="n">
        <x:v>37978</x:v>
      </x:c>
      <x:c r="H12" s="5" t="n">
        <x:v>38784</x:v>
      </x:c>
      <x:c r="I12" s="14" t="n">
        <x:v>0.093270204</x:v>
      </x:c>
      <x:c r="J12" s="5" t="n">
        <x:v>0</x:v>
      </x:c>
      <x:c r="K12" s="5" t="n">
        <x:v>292.897</x:v>
      </x:c>
    </x:row>
    <x:row r="13" ht="20" hidden="0" customHeight="1">
      <x:c r="A13" s="5" t="str">
        <x:v>node_relevance_audit</x:v>
      </x:c>
      <x:c r="B13" s="5" t="n">
        <x:v>151</x:v>
      </x:c>
      <x:c r="C13" s="5" t="n">
        <x:v>151</x:v>
      </x:c>
      <x:c r="D13" s="5" t="n">
        <x:v>151</x:v>
      </x:c>
      <x:c r="E13" s="5" t="n">
        <x:v>0</x:v>
      </x:c>
      <x:c r="F13" s="5" t="n">
        <x:v>252673</x:v>
      </x:c>
      <x:c r="G13" s="5" t="n">
        <x:v>64793</x:v>
      </x:c>
      <x:c r="H13" s="5" t="n">
        <x:v>106752</x:v>
      </x:c>
      <x:c r="I13" s="14" t="n">
        <x:v>0.12216841199999999</x:v>
      </x:c>
      <x:c r="J13" s="5" t="n">
        <x:v>0</x:v>
      </x:c>
      <x:c r="K13" s="5" t="n">
        <x:v>543.596</x:v>
      </x:c>
    </x:row>
    <x:row r="14" ht="20" hidden="0" customHeight="1">
      <x:c r="A14" s="5" t="str">
        <x:v>organize</x:v>
      </x:c>
      <x:c r="B14" s="5" t="n">
        <x:v>1540</x:v>
      </x:c>
      <x:c r="C14" s="5" t="n">
        <x:v>1390</x:v>
      </x:c>
      <x:c r="D14" s="5" t="n">
        <x:v>1135</x:v>
      </x:c>
      <x:c r="E14" s="5" t="n">
        <x:v>405</x:v>
      </x:c>
      <x:c r="F14" s="5" t="n">
        <x:v>4828441</x:v>
      </x:c>
      <x:c r="G14" s="5" t="n">
        <x:v>1257199</x:v>
      </x:c>
      <x:c r="H14" s="5" t="n">
        <x:v>2740608</x:v>
      </x:c>
      <x:c r="I14" s="14" t="n">
        <x:v>2.1514323479999997</x:v>
      </x:c>
      <x:c r="J14" s="5" t="n">
        <x:v>150</x:v>
      </x:c>
      <x:c r="K14" s="5" t="n">
        <x:v>6493.423</x:v>
      </x:c>
    </x:row>
    <x:row r="15" ht="20" hidden="0" customHeight="1">
      <x:c r="A15" s="5" t="str">
        <x:v>preflight</x:v>
      </x:c>
      <x:c r="B15" s="5" t="n">
        <x:v>1</x:v>
      </x:c>
      <x:c r="C15" s="5" t="n">
        <x:v>1</x:v>
      </x:c>
      <x:c r="D15" s="5" t="n">
        <x:v>1</x:v>
      </x:c>
      <x:c r="E15" s="5" t="n">
        <x:v>0</x:v>
      </x:c>
      <x:c r="F15" s="5" t="n">
        <x:v>70</x:v>
      </x:c>
      <x:c r="G15" s="5" t="n">
        <x:v>5</x:v>
      </x:c>
      <x:c r="H15" s="5" t="n">
        <x:v>0</x:v>
      </x:c>
      <x:c r="I15" s="14" t="n">
        <x:v>0.000027</x:v>
      </x:c>
      <x:c r="J15" s="5" t="n">
        <x:v>0</x:v>
      </x:c>
      <x:c r="K15" s="5" t="n">
        <x:v>0.892</x:v>
      </x:c>
    </x:row>
    <x:row r="16" ht="20" hidden="0" customHeight="1">
      <x:c r="A16" s="5" t="str">
        <x:v>relevance</x:v>
      </x:c>
      <x:c r="B16" s="5" t="n">
        <x:v>1177</x:v>
      </x:c>
      <x:c r="C16" s="5" t="n">
        <x:v>1132</x:v>
      </x:c>
      <x:c r="D16" s="5" t="n">
        <x:v>1132</x:v>
      </x:c>
      <x:c r="E16" s="5" t="n">
        <x:v>45</x:v>
      </x:c>
      <x:c r="F16" s="5" t="n">
        <x:v>2410617</x:v>
      </x:c>
      <x:c r="G16" s="5" t="n">
        <x:v>516660</x:v>
      </x:c>
      <x:c r="H16" s="5" t="n">
        <x:v>707968</x:v>
      </x:c>
      <x:c r="I16" s="14" t="n">
        <x:v>1.135034508</x:v>
      </x:c>
      <x:c r="J16" s="5" t="n">
        <x:v>45</x:v>
      </x:c>
      <x:c r="K16" s="5" t="n">
        <x:v>4257.342</x:v>
      </x:c>
    </x:row>
    <x:row r="17" ht="20" hidden="0" customHeight="1">
      <x:c r="A17" s="5" t="str">
        <x:v>relevance_adjudication</x:v>
      </x:c>
      <x:c r="B17" s="5" t="n">
        <x:v>86</x:v>
      </x:c>
      <x:c r="C17" s="5" t="n">
        <x:v>86</x:v>
      </x:c>
      <x:c r="D17" s="5" t="n">
        <x:v>86</x:v>
      </x:c>
      <x:c r="E17" s="5" t="n">
        <x:v>0</x:v>
      </x:c>
      <x:c r="F17" s="5" t="n">
        <x:v>299308</x:v>
      </x:c>
      <x:c r="G17" s="5" t="n">
        <x:v>46433</x:v>
      </x:c>
      <x:c r="H17" s="5" t="n">
        <x:v>140288</x:v>
      </x:c>
      <x:c r="I17" s="14" t="n">
        <x:v>0.10426732799999999</x:v>
      </x:c>
      <x:c r="J17" s="5" t="n">
        <x:v>0</x:v>
      </x:c>
      <x:c r="K17" s="5" t="n">
        <x:v>291.23</x:v>
      </x:c>
    </x:row>
    <x:row r="18" ht="20" hidden="0" customHeight="1">
      <x:c r="A18" s="5" t="str">
        <x:v>revision</x:v>
      </x:c>
      <x:c r="B18" s="5" t="n">
        <x:v>204</x:v>
      </x:c>
      <x:c r="C18" s="5" t="n">
        <x:v>199</x:v>
      </x:c>
      <x:c r="D18" s="5" t="n">
        <x:v>186</x:v>
      </x:c>
      <x:c r="E18" s="5" t="n">
        <x:v>18</x:v>
      </x:c>
      <x:c r="F18" s="5" t="n">
        <x:v>1046626</x:v>
      </x:c>
      <x:c r="G18" s="5" t="n">
        <x:v>219025</x:v>
      </x:c>
      <x:c r="H18" s="5" t="n">
        <x:v>405760</x:v>
      </x:c>
      <x:c r="I18" s="14" t="n">
        <x:v>0.45752435999999996</x:v>
      </x:c>
      <x:c r="J18" s="5" t="n">
        <x:v>5</x:v>
      </x:c>
      <x:c r="K18" s="5" t="n">
        <x:v>961.917</x:v>
      </x:c>
    </x:row>
    <x:row r="19" ht="20" hidden="0" customHeight="1">
      <x:c r="A19" s="5" t="str">
        <x:v>revision_2</x:v>
      </x:c>
      <x:c r="B19" s="5" t="n">
        <x:v>47</x:v>
      </x:c>
      <x:c r="C19" s="5" t="n">
        <x:v>47</x:v>
      </x:c>
      <x:c r="D19" s="5" t="n">
        <x:v>47</x:v>
      </x:c>
      <x:c r="E19" s="5" t="n">
        <x:v>0</x:v>
      </x:c>
      <x:c r="F19" s="5" t="n">
        <x:v>254049</x:v>
      </x:c>
      <x:c r="G19" s="5" t="n">
        <x:v>54031</x:v>
      </x:c>
      <x:c r="H19" s="5" t="n">
        <x:v>90240</x:v>
      </x:c>
      <x:c r="I19" s="14" t="n">
        <x:v>0.11452134</x:v>
      </x:c>
      <x:c r="J19" s="5" t="n">
        <x:v>0</x:v>
      </x:c>
      <x:c r="K19" s="5" t="n">
        <x:v>233.911</x:v>
      </x:c>
    </x:row>
    <x:row r="20" ht="20" hidden="0" customHeight="1">
      <x:c r="A20" s="5" t="str">
        <x:v>revision_2_audit</x:v>
      </x:c>
      <x:c r="B20" s="5" t="n">
        <x:v>48</x:v>
      </x:c>
      <x:c r="C20" s="5" t="n">
        <x:v>48</x:v>
      </x:c>
      <x:c r="D20" s="5" t="n">
        <x:v>47</x:v>
      </x:c>
      <x:c r="E20" s="5" t="n">
        <x:v>1</x:v>
      </x:c>
      <x:c r="F20" s="5" t="n">
        <x:v>203310</x:v>
      </x:c>
      <x:c r="G20" s="5" t="n">
        <x:v>61866</x:v>
      </x:c>
      <x:c r="H20" s="5" t="n">
        <x:v>69248</x:v>
      </x:c>
      <x:c r="I20" s="14" t="n">
        <x:v>0.11487328799999999</x:v>
      </x:c>
      <x:c r="J20" s="5" t="n">
        <x:v>0</x:v>
      </x:c>
      <x:c r="K20" s="5" t="n">
        <x:v>314.54</x:v>
      </x:c>
    </x:row>
    <x:row r="21" ht="20" hidden="0" customHeight="1">
      <x:c r="A21" s="5" t="str">
        <x:v>revision_audit</x:v>
      </x:c>
      <x:c r="B21" s="5" t="n">
        <x:v>190</x:v>
      </x:c>
      <x:c r="C21" s="5" t="n">
        <x:v>190</x:v>
      </x:c>
      <x:c r="D21" s="5" t="n">
        <x:v>186</x:v>
      </x:c>
      <x:c r="E21" s="5" t="n">
        <x:v>4</x:v>
      </x:c>
      <x:c r="F21" s="5" t="n">
        <x:v>776022</x:v>
      </x:c>
      <x:c r="G21" s="5" t="n">
        <x:v>229179</x:v>
      </x:c>
      <x:c r="H21" s="5" t="n">
        <x:v>245760</x:v>
      </x:c>
      <x:c r="I21" s="14" t="n">
        <x:v>0.43556796</x:v>
      </x:c>
      <x:c r="J21" s="5" t="n">
        <x:v>0</x:v>
      </x:c>
      <x:c r="K21" s="5" t="n">
        <x:v>1155.413</x:v>
      </x:c>
    </x:row>
  </x:sheetData>
  <x:conditionalFormatting sqref="A6:K21">
    <x:cfRule type="containsText" dxfId="2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b978b8fbc59445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5" hidden="0" customWidth="1"/>
    <x:col min="4" max="4" width="18" hidden="0" customWidth="1"/>
  </x:cols>
  <x:sheetData>
    <x:row r="2">
      <x:c r="A2" s="1" t="str">
        <x:v>定向相关性样本混淆计数</x:v>
      </x:c>
    </x:row>
    <x:row r="3">
      <x:c r="A3" s="2"/>
      <x:c r="B3" s="2"/>
      <x:c r="C3" s="2"/>
      <x:c r="D3" s="2"/>
    </x:row>
    <x:row r="5" ht="32" customHeight="1">
      <x:c r="A5" s="9" t="str">
        <x:v>系统</x:v>
      </x:c>
      <x:c r="B5" s="9" t="str">
        <x:v>原预测</x:v>
      </x:c>
      <x:c r="C5" s="9" t="str">
        <x:v>独立Silver参考</x:v>
      </x:c>
      <x:c r="D5" s="9" t="str">
        <x:v>节点数</x:v>
      </x:c>
    </x:row>
    <x:row r="6" ht="20" hidden="0" customHeight="1">
      <x:c r="A6" s="5" t="str">
        <x:v>D2_SINGLE</x:v>
      </x:c>
      <x:c r="B6" s="5" t="str">
        <x:v>Unrelated</x:v>
      </x:c>
      <x:c r="C6" s="5" t="str">
        <x:v>Direct</x:v>
      </x:c>
      <x:c r="D6" s="5" t="n">
        <x:v>30</x:v>
      </x:c>
    </x:row>
    <x:row r="7" ht="20" hidden="0" customHeight="1">
      <x:c r="A7" s="5" t="str">
        <x:v>D3_A</x:v>
      </x:c>
      <x:c r="B7" s="5" t="str">
        <x:v>A1</x:v>
      </x:c>
      <x:c r="C7" s="5" t="str">
        <x:v>A1</x:v>
      </x:c>
      <x:c r="D7" s="5" t="n">
        <x:v>29</x:v>
      </x:c>
    </x:row>
    <x:row r="8" ht="20" hidden="0" customHeight="1">
      <x:c r="A8" s="5" t="str">
        <x:v>D3_B</x:v>
      </x:c>
      <x:c r="B8" s="5" t="str">
        <x:v>B1</x:v>
      </x:c>
      <x:c r="C8" s="5" t="str">
        <x:v>B1</x:v>
      </x:c>
      <x:c r="D8" s="5" t="n">
        <x:v>35</x:v>
      </x:c>
    </x:row>
    <x:row r="9" ht="20" hidden="0" customHeight="1">
      <x:c r="A9" s="5" t="str">
        <x:v>D2_SINGLE</x:v>
      </x:c>
      <x:c r="B9" s="5" t="str">
        <x:v>Manufacturing</x:v>
      </x:c>
      <x:c r="C9" s="5" t="str">
        <x:v>Manufacturing</x:v>
      </x:c>
      <x:c r="D9" s="5" t="n">
        <x:v>7</x:v>
      </x:c>
    </x:row>
    <x:row r="10" ht="20" hidden="0" customHeight="1">
      <x:c r="A10" s="5" t="str">
        <x:v>D3_A</x:v>
      </x:c>
      <x:c r="B10" s="5" t="str">
        <x:v>A2</x:v>
      </x:c>
      <x:c r="C10" s="5" t="str">
        <x:v>A2</x:v>
      </x:c>
      <x:c r="D10" s="5" t="n">
        <x:v>8</x:v>
      </x:c>
    </x:row>
    <x:row r="11" ht="20" hidden="0" customHeight="1">
      <x:c r="A11" s="5" t="str">
        <x:v>D3_B</x:v>
      </x:c>
      <x:c r="B11" s="5" t="str">
        <x:v>B2</x:v>
      </x:c>
      <x:c r="C11" s="5" t="str">
        <x:v>B1</x:v>
      </x:c>
      <x:c r="D11" s="5" t="n">
        <x:v>3</x:v>
      </x:c>
    </x:row>
    <x:row r="12" ht="20" hidden="0" customHeight="1">
      <x:c r="A12" s="5" t="str">
        <x:v>D2_SINGLE</x:v>
      </x:c>
      <x:c r="B12" s="5" t="str">
        <x:v>Direct</x:v>
      </x:c>
      <x:c r="C12" s="5" t="str">
        <x:v>Direct</x:v>
      </x:c>
      <x:c r="D12" s="5" t="n">
        <x:v>24</x:v>
      </x:c>
    </x:row>
    <x:row r="13" ht="20" hidden="0" customHeight="1">
      <x:c r="A13" s="5" t="str">
        <x:v>D2_SINGLE</x:v>
      </x:c>
      <x:c r="B13" s="5" t="str">
        <x:v>Unrelated</x:v>
      </x:c>
      <x:c r="C13" s="5" t="str">
        <x:v>Transferable</x:v>
      </x:c>
      <x:c r="D13" s="5" t="n">
        <x:v>10</x:v>
      </x:c>
    </x:row>
    <x:row r="14" ht="20" hidden="0" customHeight="1">
      <x:c r="A14" s="5" t="str">
        <x:v>D3_A</x:v>
      </x:c>
      <x:c r="B14" s="5" t="str">
        <x:v>A3</x:v>
      </x:c>
      <x:c r="C14" s="5" t="str">
        <x:v>A3</x:v>
      </x:c>
      <x:c r="D14" s="5" t="n">
        <x:v>21</x:v>
      </x:c>
    </x:row>
    <x:row r="15" ht="20" hidden="0" customHeight="1">
      <x:c r="A15" s="5" t="str">
        <x:v>D3_B</x:v>
      </x:c>
      <x:c r="B15" s="5" t="str">
        <x:v>B3</x:v>
      </x:c>
      <x:c r="C15" s="5" t="str">
        <x:v>B3</x:v>
      </x:c>
      <x:c r="D15" s="5" t="n">
        <x:v>3</x:v>
      </x:c>
    </x:row>
    <x:row r="16" ht="20" hidden="0" customHeight="1">
      <x:c r="A16" s="5" t="str">
        <x:v>D3_A</x:v>
      </x:c>
      <x:c r="B16" s="5" t="str">
        <x:v>A3</x:v>
      </x:c>
      <x:c r="C16" s="5" t="str">
        <x:v>A1</x:v>
      </x:c>
      <x:c r="D16" s="5" t="n">
        <x:v>6</x:v>
      </x:c>
    </x:row>
    <x:row r="17" ht="20" hidden="0" customHeight="1">
      <x:c r="A17" s="5" t="str">
        <x:v>D2_SINGLE</x:v>
      </x:c>
      <x:c r="B17" s="5" t="str">
        <x:v>Unrelated</x:v>
      </x:c>
      <x:c r="C17" s="5" t="str">
        <x:v>Unrelated</x:v>
      </x:c>
      <x:c r="D17" s="5" t="n">
        <x:v>34</x:v>
      </x:c>
    </x:row>
    <x:row r="18" ht="20" hidden="0" customHeight="1">
      <x:c r="A18" s="5" t="str">
        <x:v>D3_A</x:v>
      </x:c>
      <x:c r="B18" s="5" t="str">
        <x:v>A4</x:v>
      </x:c>
      <x:c r="C18" s="5" t="str">
        <x:v>A4</x:v>
      </x:c>
      <x:c r="D18" s="5" t="n">
        <x:v>49</x:v>
      </x:c>
    </x:row>
    <x:row r="19" ht="20" hidden="0" customHeight="1">
      <x:c r="A19" s="5" t="str">
        <x:v>D3_B</x:v>
      </x:c>
      <x:c r="B19" s="5" t="str">
        <x:v>B5</x:v>
      </x:c>
      <x:c r="C19" s="5" t="str">
        <x:v>B5</x:v>
      </x:c>
      <x:c r="D19" s="5" t="n">
        <x:v>35</x:v>
      </x:c>
    </x:row>
    <x:row r="20" ht="20" hidden="0" customHeight="1">
      <x:c r="A20" s="5" t="str">
        <x:v>D2_SINGLE</x:v>
      </x:c>
      <x:c r="B20" s="5" t="str">
        <x:v>Unrelated</x:v>
      </x:c>
      <x:c r="C20" s="5" t="str">
        <x:v>Contextual</x:v>
      </x:c>
      <x:c r="D20" s="5" t="n">
        <x:v>15</x:v>
      </x:c>
    </x:row>
    <x:row r="21" ht="20" hidden="0" customHeight="1">
      <x:c r="A21" s="5" t="str">
        <x:v>D3_B</x:v>
      </x:c>
      <x:c r="B21" s="5" t="str">
        <x:v>B5</x:v>
      </x:c>
      <x:c r="C21" s="5" t="str">
        <x:v>B4</x:v>
      </x:c>
      <x:c r="D21" s="5" t="n">
        <x:v>5</x:v>
      </x:c>
    </x:row>
    <x:row r="22" ht="20" hidden="0" customHeight="1">
      <x:c r="A22" s="5" t="str">
        <x:v>D3_B</x:v>
      </x:c>
      <x:c r="B22" s="5" t="str">
        <x:v>B5</x:v>
      </x:c>
      <x:c r="C22" s="5" t="str">
        <x:v>B3</x:v>
      </x:c>
      <x:c r="D22" s="5" t="n">
        <x:v>9</x:v>
      </x:c>
    </x:row>
    <x:row r="23" ht="20" hidden="0" customHeight="1">
      <x:c r="A23" s="5" t="str">
        <x:v>D2_SINGLE</x:v>
      </x:c>
      <x:c r="B23" s="5" t="str">
        <x:v>Manufacturing</x:v>
      </x:c>
      <x:c r="C23" s="5" t="str">
        <x:v>Transferable</x:v>
      </x:c>
      <x:c r="D23" s="5" t="n">
        <x:v>8</x:v>
      </x:c>
    </x:row>
    <x:row r="24" ht="20" hidden="0" customHeight="1">
      <x:c r="A24" s="5" t="str">
        <x:v>D3_A</x:v>
      </x:c>
      <x:c r="B24" s="5" t="str">
        <x:v>A4</x:v>
      </x:c>
      <x:c r="C24" s="5" t="str">
        <x:v>A1</x:v>
      </x:c>
      <x:c r="D24" s="5" t="n">
        <x:v>1</x:v>
      </x:c>
    </x:row>
    <x:row r="25" ht="20" hidden="0" customHeight="1">
      <x:c r="A25" s="5" t="str">
        <x:v>D3_B</x:v>
      </x:c>
      <x:c r="B25" s="5" t="str">
        <x:v>B5</x:v>
      </x:c>
      <x:c r="C25" s="5" t="str">
        <x:v>B1</x:v>
      </x:c>
      <x:c r="D25" s="5" t="n">
        <x:v>2</x:v>
      </x:c>
    </x:row>
    <x:row r="26" ht="20" hidden="0" customHeight="1">
      <x:c r="A26" s="5" t="str">
        <x:v>D2_SINGLE</x:v>
      </x:c>
      <x:c r="B26" s="5" t="str">
        <x:v>Transferable</x:v>
      </x:c>
      <x:c r="C26" s="5" t="str">
        <x:v>Direct</x:v>
      </x:c>
      <x:c r="D26" s="5" t="n">
        <x:v>1</x:v>
      </x:c>
    </x:row>
    <x:row r="27" ht="20" hidden="0" customHeight="1">
      <x:c r="A27" s="5" t="str">
        <x:v>D2_SINGLE</x:v>
      </x:c>
      <x:c r="B27" s="5" t="str">
        <x:v>Unrelated</x:v>
      </x:c>
      <x:c r="C27" s="5" t="str">
        <x:v>Manufacturing</x:v>
      </x:c>
      <x:c r="D27" s="5" t="n">
        <x:v>4</x:v>
      </x:c>
    </x:row>
    <x:row r="28" ht="20" hidden="0" customHeight="1">
      <x:c r="A28" s="5" t="str">
        <x:v>D3_A</x:v>
      </x:c>
      <x:c r="B28" s="5" t="str">
        <x:v>A1</x:v>
      </x:c>
      <x:c r="C28" s="5" t="str">
        <x:v>A2</x:v>
      </x:c>
      <x:c r="D28" s="5" t="n">
        <x:v>5</x:v>
      </x:c>
    </x:row>
    <x:row r="29" ht="20" hidden="0" customHeight="1">
      <x:c r="A29" s="5" t="str">
        <x:v>D3_B</x:v>
      </x:c>
      <x:c r="B29" s="5" t="str">
        <x:v>B3</x:v>
      </x:c>
      <x:c r="C29" s="5" t="str">
        <x:v>B2</x:v>
      </x:c>
      <x:c r="D29" s="5" t="n">
        <x:v>1</x:v>
      </x:c>
    </x:row>
    <x:row r="30" ht="20" hidden="0" customHeight="1">
      <x:c r="A30" s="5" t="str">
        <x:v>D3_A</x:v>
      </x:c>
      <x:c r="B30" s="5" t="str">
        <x:v>A3</x:v>
      </x:c>
      <x:c r="C30" s="5" t="str">
        <x:v>A4</x:v>
      </x:c>
      <x:c r="D30" s="5" t="n">
        <x:v>1</x:v>
      </x:c>
    </x:row>
    <x:row r="31" ht="20" hidden="0" customHeight="1">
      <x:c r="A31" s="5" t="str">
        <x:v>D2_SINGLE</x:v>
      </x:c>
      <x:c r="B31" s="5" t="str">
        <x:v>Direct</x:v>
      </x:c>
      <x:c r="C31" s="5" t="str">
        <x:v>Manufacturing</x:v>
      </x:c>
      <x:c r="D31" s="5" t="n">
        <x:v>5</x:v>
      </x:c>
    </x:row>
    <x:row r="32" ht="20" hidden="0" customHeight="1">
      <x:c r="A32" s="5" t="str">
        <x:v>D3_B</x:v>
      </x:c>
      <x:c r="B32" s="5" t="str">
        <x:v>B2</x:v>
      </x:c>
      <x:c r="C32" s="5" t="str">
        <x:v>B2</x:v>
      </x:c>
      <x:c r="D32" s="5" t="n">
        <x:v>6</x:v>
      </x:c>
    </x:row>
    <x:row r="33" ht="20" hidden="0" customHeight="1">
      <x:c r="A33" s="5" t="str">
        <x:v>D2_SINGLE</x:v>
      </x:c>
      <x:c r="B33" s="5" t="str">
        <x:v>Direct</x:v>
      </x:c>
      <x:c r="C33" s="5" t="str">
        <x:v>Contextual</x:v>
      </x:c>
      <x:c r="D33" s="5" t="n">
        <x:v>3</x:v>
      </x:c>
    </x:row>
    <x:row r="34" ht="20" hidden="0" customHeight="1">
      <x:c r="A34" s="5" t="str">
        <x:v>D3_B</x:v>
      </x:c>
      <x:c r="B34" s="5" t="str">
        <x:v>B3</x:v>
      </x:c>
      <x:c r="C34" s="5" t="str">
        <x:v>B1</x:v>
      </x:c>
      <x:c r="D34" s="5" t="n">
        <x:v>20</x:v>
      </x:c>
    </x:row>
    <x:row r="35" ht="20" hidden="0" customHeight="1">
      <x:c r="A35" s="5" t="str">
        <x:v>D2_SINGLE</x:v>
      </x:c>
      <x:c r="B35" s="5" t="str">
        <x:v>Manufacturing</x:v>
      </x:c>
      <x:c r="C35" s="5" t="str">
        <x:v>Unrelated</x:v>
      </x:c>
      <x:c r="D35" s="5" t="n">
        <x:v>4</x:v>
      </x:c>
    </x:row>
    <x:row r="36" ht="20" hidden="0" customHeight="1">
      <x:c r="A36" s="5" t="str">
        <x:v>D2_SINGLE</x:v>
      </x:c>
      <x:c r="B36" s="5" t="str">
        <x:v>Manufacturing</x:v>
      </x:c>
      <x:c r="C36" s="5" t="str">
        <x:v>Direct</x:v>
      </x:c>
      <x:c r="D36" s="5" t="n">
        <x:v>4</x:v>
      </x:c>
    </x:row>
    <x:row r="37" ht="20" hidden="0" customHeight="1">
      <x:c r="A37" s="5" t="str">
        <x:v>D3_A</x:v>
      </x:c>
      <x:c r="B37" s="5" t="str">
        <x:v>A4</x:v>
      </x:c>
      <x:c r="C37" s="5" t="str">
        <x:v>A2</x:v>
      </x:c>
      <x:c r="D37" s="5" t="n">
        <x:v>1</x:v>
      </x:c>
    </x:row>
    <x:row r="38" ht="20" hidden="0" customHeight="1">
      <x:c r="A38" s="5" t="str">
        <x:v>D3_B</x:v>
      </x:c>
      <x:c r="B38" s="5" t="str">
        <x:v>B5</x:v>
      </x:c>
      <x:c r="C38" s="5" t="str">
        <x:v>B2</x:v>
      </x:c>
      <x:c r="D38" s="5" t="n">
        <x:v>1</x:v>
      </x:c>
    </x:row>
    <x:row r="39" ht="20" hidden="0" customHeight="1">
      <x:c r="A39" s="5" t="str">
        <x:v>D3_A</x:v>
      </x:c>
      <x:c r="B39" s="5" t="str">
        <x:v>A3</x:v>
      </x:c>
      <x:c r="C39" s="5" t="str">
        <x:v>A2</x:v>
      </x:c>
      <x:c r="D39" s="5" t="n">
        <x:v>1</x:v>
      </x:c>
    </x:row>
    <x:row r="40" ht="20" hidden="0" customHeight="1">
      <x:c r="A40" s="5" t="str">
        <x:v>D3_B</x:v>
      </x:c>
      <x:c r="B40" s="5" t="str">
        <x:v>B1</x:v>
      </x:c>
      <x:c r="C40" s="5" t="str">
        <x:v>B2</x:v>
      </x:c>
      <x:c r="D40" s="5" t="n">
        <x:v>3</x:v>
      </x:c>
    </x:row>
    <x:row r="41" ht="20" hidden="0" customHeight="1">
      <x:c r="A41" s="5" t="str">
        <x:v>D3_A</x:v>
      </x:c>
      <x:c r="B41" s="5" t="str">
        <x:v>A4</x:v>
      </x:c>
      <x:c r="C41" s="5" t="str">
        <x:v>A3</x:v>
      </x:c>
      <x:c r="D41" s="5" t="n">
        <x:v>1</x:v>
      </x:c>
    </x:row>
    <x:row r="42" ht="20" hidden="0" customHeight="1">
      <x:c r="A42" s="5" t="str">
        <x:v>D2_SINGLE</x:v>
      </x:c>
      <x:c r="B42" s="5" t="str">
        <x:v>Manufacturing</x:v>
      </x:c>
      <x:c r="C42" s="5" t="str">
        <x:v>Contextual</x:v>
      </x:c>
      <x:c r="D42" s="5" t="n">
        <x:v>2</x:v>
      </x:c>
    </x:row>
  </x:sheetData>
  <x:conditionalFormatting sqref="A6:D42">
    <x:cfRule type="containsText" dxfId="3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19b4efbb1f2c4b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15" hidden="0" customWidth="1"/>
    <x:col min="4" max="4" width="75" hidden="0" customWidth="1"/>
    <x:col min="5" max="5" width="30" hidden="0" customWidth="1"/>
  </x:cols>
  <x:sheetData>
    <x:row r="2">
      <x:c r="A2" s="1" t="str">
        <x:v>运行失败（不当作弃判）</x:v>
      </x:c>
    </x:row>
    <x:row r="3">
      <x:c r="A3" s="2"/>
      <x:c r="B3" s="2"/>
      <x:c r="C3" s="2"/>
      <x:c r="D3" s="2"/>
      <x:c r="E3" s="2"/>
    </x:row>
    <x:row r="5" ht="32" customHeight="1">
      <x:c r="A5" s="9" t="str">
        <x:v>Family ID</x:v>
      </x:c>
      <x:c r="B5" s="9" t="str">
        <x:v>状态</x:v>
      </x:c>
      <x:c r="C5" s="9" t="str">
        <x:v>错误</x:v>
      </x:c>
      <x:c r="D5" s="9" t="str">
        <x:v>标题</x:v>
      </x:c>
      <x:c r="E5" s="9" t="str">
        <x:v>原文哈希</x:v>
      </x:c>
    </x:row>
    <x:row r="6" ht="44" hidden="0" customHeight="1">
      <x:c r="A6" s="5" t="str">
        <x:v>google:14917668</x:v>
      </x:c>
      <x:c r="B6" s="5" t="str">
        <x:v>FAILED</x:v>
      </x:c>
      <x:c r="C6" s="5" t="str">
        <x:v>RuntimeError: Model output failed after bounded attempts; ['organize_38bd0a63b7982df3_ae2ac310.receipt', 'organize_38bd0a63b7982df3_55281ed7.receipt', 'organize_38bd0a63b7982df3_7f96f8bc.receipt', 'organize_38bd0a63b7982df3_a34ec402', 'organize_38bd0a63b7982df3_6048b6c6', 'organize_38bd0a63b7982df3_2f0aded6']</x:v>
      </x:c>
      <x:c r="D6" s="5" t="str">
        <x:v>Boat for vapor deposition</x:v>
      </x:c>
      <x:c r="E6" s="5" t="str">
        <x:v>8119580da446f7f3ff8f8ac094374ed89a946ebfdbcde36ce91e4ce0dcd4643e</x:v>
      </x:c>
    </x:row>
    <x:row r="7" ht="44" hidden="0" customHeight="1">
      <x:c r="A7" s="5" t="str">
        <x:v>google:16590898</x:v>
      </x:c>
      <x:c r="B7" s="5" t="str">
        <x:v>FAILED</x:v>
      </x:c>
      <x:c r="C7" s="5" t="str">
        <x:v>RuntimeError: Model output failed after bounded attempts; ['facts_911d698f65dffbd4_b76704ff.receipt', 'facts_911d698f65dffbd4_bbb5046b.receipt', 'facts_911d698f65dffbd4_ec574591.receipt', 'facts_911d698f65dffbd4_1a661bf8', 'facts_911d698f65dffbd4_0292e0ff', 'facts_911d698f65dffbd4_9c8735bd']</x:v>
      </x:c>
      <x:c r="D7" s="5" t="str">
        <x:v>Extracting device for extracting contents from bag-like container</x:v>
      </x:c>
      <x:c r="E7" s="5" t="str">
        <x:v>10f184cbf72beabd459535bccccacc9f7403440550cc65773b79719b54fc6a6b</x:v>
      </x:c>
    </x:row>
    <x:row r="8" ht="44" hidden="0" customHeight="1">
      <x:c r="A8" s="5" t="str">
        <x:v>google:26618543</x:v>
      </x:c>
      <x:c r="B8" s="5" t="str">
        <x:v>FAILED</x:v>
      </x:c>
      <x:c r="C8" s="5" t="str">
        <x:v>RuntimeError: Model output failed after bounded attempts; ['organize_b712d4e016e6b9d4_a30f86f5.receipt', 'organize_b712d4e016e6b9d4_b5c22574.receipt', 'organize_b712d4e016e6b9d4_595d7cc9.receipt', 'organize_b712d4e016e6b9d4_e603ca5f', 'organize_b712d4e016e6b9d4_b55d5921', 'organize_b712d4e016e6b9d4_014e0790']</x:v>
      </x:c>
      <x:c r="D8" s="5" t="str">
        <x:v>静电镀膜设备和静电镀膜方法</x:v>
      </x:c>
      <x:c r="E8" s="5" t="str">
        <x:v>4f07b41ed6a8309bbf06b1c971f51287038db9bea0aa79b69fe816ddd1b8a009</x:v>
      </x:c>
    </x:row>
    <x:row r="9" ht="44" hidden="0" customHeight="1">
      <x:c r="A9" s="5" t="str">
        <x:v>google:34214176</x:v>
      </x:c>
      <x:c r="B9" s="5" t="str">
        <x:v>FAILED</x:v>
      </x:c>
      <x:c r="C9" s="5" t="str">
        <x:v>RuntimeError: Model output failed after bounded attempts; ['revision_b420802a3cf30b79_d357935c.receipt', 'revision_b420802a3cf30b79_79a4b45e.receipt', 'revision_b420802a3cf30b79_b41e0e87.receipt', 'revision_b420802a3cf30b79_e46027ba', 'revision_b420802a3cf30b79_fa85a393', 'revision_b420802a3cf30b79_62a551bf']</x:v>
      </x:c>
      <x:c r="D9" s="5" t="str">
        <x:v>Laminated structure, piezoelectric actuator and method of manufacturing the same</x:v>
      </x:c>
      <x:c r="E9" s="5" t="str">
        <x:v>3237c24a8fc69e3f11f70c0983837f3b90cd89867d2766f8548d65a1981b78ab</x:v>
      </x:c>
    </x:row>
    <x:row r="10" ht="44" hidden="0" customHeight="1">
      <x:c r="A10" s="5" t="str">
        <x:v>google:38552258</x:v>
      </x:c>
      <x:c r="B10" s="5" t="str">
        <x:v>FAILED</x:v>
      </x:c>
      <x:c r="C10" s="5" t="str">
        <x:v>RuntimeError: Model output failed after bounded attempts; ['organize_7256029c60a45be7_9e7db263.receipt', 'organize_7256029c60a45be7_6cace026.receipt', 'organize_7256029c60a45be7_2b8fe753.receipt', 'organize_7256029c60a45be7_31a432f9', 'organize_7256029c60a45be7_5594f61d', 'organize_7256029c60a45be7_d56372c8']</x:v>
      </x:c>
      <x:c r="D10" s="5" t="str">
        <x:v>Vapor deposition container and vapor deposition material evaporating device</x:v>
      </x:c>
      <x:c r="E10" s="5" t="str">
        <x:v>855c26f16b486e7f3a62e7e1015f73240f7c466af2f164acc00174c2364f2837</x:v>
      </x:c>
    </x:row>
    <x:row r="11" ht="44" hidden="0" customHeight="1">
      <x:c r="A11" s="5" t="str">
        <x:v>google:39595000</x:v>
      </x:c>
      <x:c r="B11" s="5" t="str">
        <x:v>FAILED</x:v>
      </x:c>
      <x:c r="C11" s="5" t="str">
        <x:v>RuntimeError: Model output failed after bounded attempts; ['organize_65678938d5190f54_66ef1975.receipt', 'organize_65678938d5190f54_9f2e0d92.receipt', 'organize_65678938d5190f54_c9e6a145.receipt', 'organize_65678938d5190f54_f7f6f430', 'organize_65678938d5190f54_183eacd0', 'organize_65678938d5190f54_2481c10c']</x:v>
      </x:c>
      <x:c r="D11" s="5" t="str">
        <x:v>Featured wands for camera calibration and as a gesture based 3d interface device</x:v>
      </x:c>
      <x:c r="E11" s="5" t="str">
        <x:v>b0a12e77d3dd194342e13977bcaa047d70cc26d6deb80aa6c68f7febe74c3962</x:v>
      </x:c>
    </x:row>
    <x:row r="12" ht="44" hidden="0" customHeight="1">
      <x:c r="A12" s="5" t="str">
        <x:v>google:39739327</x:v>
      </x:c>
      <x:c r="B12" s="5" t="str">
        <x:v>FAILED</x:v>
      </x:c>
      <x:c r="C12" s="5" t="str">
        <x:v>RuntimeError: Model output failed after bounded attempts; ['organize_25b69b4134fbc9b1_2fa41732.receipt', 'organize_25b69b4134fbc9b1_4f342848.receipt', 'organize_25b69b4134fbc9b1_973716f9.receipt', 'organize_25b69b4134fbc9b1_85e3e0a2', 'organize_25b69b4134fbc9b1_57a945bc', 'organize_25b69b4134fbc9b1_11943c19']</x:v>
      </x:c>
      <x:c r="D12" s="5" t="str">
        <x:v>Method for detecting ovarian cancer and method for suppresssing the same</x:v>
      </x:c>
      <x:c r="E12" s="5" t="str">
        <x:v>569cbad783e6ba47f546e2b647395b38a841c8ae156dc7eb18391c3c6ea7bd9d</x:v>
      </x:c>
    </x:row>
    <x:row r="13" ht="44" hidden="0" customHeight="1">
      <x:c r="A13" s="5" t="str">
        <x:v>google:42069640</x:v>
      </x:c>
      <x:c r="B13" s="5" t="str">
        <x:v>FAILED</x:v>
      </x:c>
      <x:c r="C13" s="5" t="str">
        <x:v>RuntimeError: Model output failed after bounded attempts; ['organize_4cc696db94820695_d3b30716.receipt', 'organize_4cc696db94820695_3dc3bd8f.receipt', 'organize_4cc696db94820695_550dc294.receipt', 'organize_4cc696db94820695_eb2f26c6', 'organize_4cc696db94820695_2e965e68', 'organize_4cc696db94820695_f89eb738']</x:v>
      </x:c>
      <x:c r="D13" s="5" t="str">
        <x:v>Oxide body, method for producing the same, and piezoelectric element</x:v>
      </x:c>
      <x:c r="E13" s="5" t="str">
        <x:v>7a8f5764a2868bdfde2254247406138c3a3f399e1e7ad31eaeb678756aef91e9</x:v>
      </x:c>
    </x:row>
    <x:row r="14" ht="44" hidden="0" customHeight="1">
      <x:c r="A14" s="5" t="str">
        <x:v>google:47506065</x:v>
      </x:c>
      <x:c r="B14" s="5" t="str">
        <x:v>FAILED</x:v>
      </x:c>
      <x:c r="C14" s="5" t="str">
        <x:v>RuntimeError: Model output failed after bounded attempts; ['organize_d2c58bec944187b0_8c661309.receipt', 'organize_d2c58bec944187b0_98add2ac.receipt', 'organize_d2c58bec944187b0_25165d7f.receipt', 'organize_d2c58bec944187b0_d1f58c25', 'organize_d2c58bec944187b0_c4e515a9', 'organize_d2c58bec944187b0_1b8294fb']</x:v>
      </x:c>
      <x:c r="D14" s="5" t="str">
        <x:v>Piezoelectric element</x:v>
      </x:c>
      <x:c r="E14" s="5" t="str">
        <x:v>8b6e0871f2ded2d65a0e936c748d43decc2c6c7e3c0cc87737b0612b68a64595</x:v>
      </x:c>
    </x:row>
    <x:row r="15" ht="44" hidden="0" customHeight="1">
      <x:c r="A15" s="5" t="str">
        <x:v>google:48008156</x:v>
      </x:c>
      <x:c r="B15" s="5" t="str">
        <x:v>FAILED</x:v>
      </x:c>
      <x:c r="C15" s="5" t="str">
        <x:v>RuntimeError: Model output failed after bounded attempts; ['organize_4910acd4a9863637_e8c59bcb.receipt', 'organize_4910acd4a9863637_2abfc1e1.receipt', 'organize_4910acd4a9863637_4eb175c5.receipt', 'organize_4910acd4a9863637_82b9eeef', 'organize_4910acd4a9863637_26cbbb96', 'organize_4910acd4a9863637_7e46e91e']</x:v>
      </x:c>
      <x:c r="D15" s="5" t="str">
        <x:v>Film deposition apparatus</x:v>
      </x:c>
      <x:c r="E15" s="5" t="str">
        <x:v>8f8e11bf68aea1f2c2931361b093c93bba162e61abaf3967a4097be994e40e80</x:v>
      </x:c>
    </x:row>
    <x:row r="16" ht="44" hidden="0" customHeight="1">
      <x:c r="A16" s="5" t="str">
        <x:v>google:51463248</x:v>
      </x:c>
      <x:c r="B16" s="5" t="str">
        <x:v>FAILED</x:v>
      </x:c>
      <x:c r="C16" s="5" t="str">
        <x:v>RuntimeError: Model output failed after bounded attempts; ['organize_70df5fc370ae6d8b_6adcd614.receipt', 'organize_70df5fc370ae6d8b_6f664d88.receipt', 'organize_70df5fc370ae6d8b_a70f8e79.receipt', 'organize_70df5fc370ae6d8b_7134b605', 'organize_70df5fc370ae6d8b_8b270ff7', 'organize_70df5fc370ae6d8b_da67ced7']</x:v>
      </x:c>
      <x:c r="D16" s="5" t="str">
        <x:v>真空成膜装置用防着板、真空成膜装置、および、真空成膜方法</x:v>
      </x:c>
      <x:c r="E16" s="5" t="str">
        <x:v>c92c1929929635ed222b8340f1f239d85e6e7bd2fa4eb6c7c6153a73a2a419fb</x:v>
      </x:c>
    </x:row>
    <x:row r="17" ht="44" hidden="0" customHeight="1">
      <x:c r="A17" s="5" t="str">
        <x:v>google:53768637</x:v>
      </x:c>
      <x:c r="B17" s="5" t="str">
        <x:v>FAILED</x:v>
      </x:c>
      <x:c r="C17" s="5" t="str">
        <x:v>RuntimeError: Model output failed after bounded attempts; ['organize_4fb2ceac92280502_83e9c171.receipt', 'organize_4fb2ceac92280502_146f1c36.receipt', 'organize_4fb2ceac92280502_795690d6.receipt', 'organize_4fb2ceac92280502_b36e2d9e', 'organize_4fb2ceac92280502_7b48798e', 'organize_4fb2ceac92280502_9e03163f']</x:v>
      </x:c>
      <x:c r="D17" s="5" t="str">
        <x:v>Tablet for vapor deposition and vapor deposition apparatus for depositing organic material</x:v>
      </x:c>
      <x:c r="E17" s="5" t="str">
        <x:v>aa5067d56d7a8a958cf207e4f1bc1a45d0b221e6c90b636b4a0a36cbd5e9197e</x:v>
      </x:c>
    </x:row>
    <x:row r="18" ht="44" hidden="0" customHeight="1">
      <x:c r="A18" s="5" t="str">
        <x:v>google:54699711</x:v>
      </x:c>
      <x:c r="B18" s="5" t="str">
        <x:v>FAILED</x:v>
      </x:c>
      <x:c r="C18" s="5" t="str">
        <x:v>RuntimeError: Model output failed after bounded attempts; ['organize_c5af535adf7ed4b7_a503e166.receipt', 'organize_c5af535adf7ed4b7_f47f9467.receipt', 'organize_c5af535adf7ed4b7_7ab62f06.receipt', 'organize_c5af535adf7ed4b7_8fed7225', 'organize_c5af535adf7ed4b7_e2b572d5', 'organize_c5af535adf7ed4b7_c47273dd']</x:v>
      </x:c>
      <x:c r="D18" s="5" t="str">
        <x:v>Piezoelectric transducer device with lens structures</x:v>
      </x:c>
      <x:c r="E18" s="5" t="str">
        <x:v>21b9b28201fb9c08236548fc3e256c3c744cb5ab3f59d928c76d7e0f76970887</x:v>
      </x:c>
    </x:row>
    <x:row r="19" ht="44" hidden="0" customHeight="1">
      <x:c r="A19" s="5" t="str">
        <x:v>google:57607984</x:v>
      </x:c>
      <x:c r="B19" s="5" t="str">
        <x:v>FAILED</x:v>
      </x:c>
      <x:c r="C19" s="5" t="str">
        <x:v>RuntimeError: Terminal task: six total attempts already exhausted; no silent unbounded retry</x:v>
      </x:c>
      <x:c r="D19" s="5" t="str">
        <x:v>Laminate structure, piezoelectric element and method of manufacturing piezoelectric element</x:v>
      </x:c>
      <x:c r="E19" s="5" t="str">
        <x:v>2b00b9e35e634093079ede0e5cefb4aba974b59c56a5454ac95474206f2fee7a</x:v>
      </x:c>
    </x:row>
    <x:row r="20" ht="44" hidden="0" customHeight="1">
      <x:c r="A20" s="5" t="str">
        <x:v>google:72608678</x:v>
      </x:c>
      <x:c r="B20" s="5" t="str">
        <x:v>FAILED</x:v>
      </x:c>
      <x:c r="C20" s="5" t="str">
        <x:v>RuntimeError: Model output failed after bounded attempts; ['facts_72fb4a1c5452adcc_583ab6ff.receipt', 'facts_72fb4a1c5452adcc_315d7abf', 'facts_72fb4a1c5452adcc_05ba728f', 'facts_72fb4a1c5452adcc_824deb44']</x:v>
      </x:c>
      <x:c r="D20" s="5" t="str">
        <x:v>微镜器件及微镜器件的驱动方法</x:v>
      </x:c>
      <x:c r="E20" s="5" t="str">
        <x:v>4afc420d1e3368db8c77a9da212bf41353865821c1348ae660a22bb9637c09d5</x:v>
      </x:c>
    </x:row>
    <x:row r="21" ht="44" hidden="0" customHeight="1">
      <x:c r="A21" s="5" t="str">
        <x:v>google:74060847</x:v>
      </x:c>
      <x:c r="B21" s="5" t="str">
        <x:v>FAILED</x:v>
      </x:c>
      <x:c r="C21" s="5" t="str">
        <x:v>RuntimeError: Model output failed after bounded attempts; ['organize_d40d1eb9e20826e2_cddd95d2', 'organize_d40d1eb9e20826e2_801b9289', 'organize_d40d1eb9e20826e2_f2d2490e']</x:v>
      </x:c>
      <x:c r="D21" s="5" t="str">
        <x:v>高分子複合壓電體及壓電薄膜</x:v>
      </x:c>
      <x:c r="E21" s="5" t="str">
        <x:v>1d6d1903251836541d4c813c79504518dcf2cf55320bf164f9c23a8af6c663cf</x:v>
      </x:c>
    </x:row>
    <x:row r="22" ht="44" hidden="0" customHeight="1">
      <x:c r="A22" s="5" t="str">
        <x:v>google:83397327</x:v>
      </x:c>
      <x:c r="B22" s="5" t="str">
        <x:v>FAILED</x:v>
      </x:c>
      <x:c r="C22" s="5" t="str">
        <x:v>RuntimeError: Model output failed after bounded attempts; ['organize_12c40df6bd3e4ce8_885ba5e6', 'organize_12c40df6bd3e4ce8_58843da1', 'organize_12c40df6bd3e4ce8_a6389e8b']</x:v>
      </x:c>
      <x:c r="D22" s="5" t="str">
        <x:v>圧電フィルムおよび積層圧電素子</x:v>
      </x:c>
      <x:c r="E22" s="5" t="str">
        <x:v>fea197668794f0552b6d9712c695b8ab1bd9efdb8469fbb11a77c70c54b4591e</x:v>
      </x:c>
    </x:row>
    <x:row r="23" ht="44" hidden="0" customHeight="1">
      <x:c r="A23" s="5" t="str">
        <x:v>google:85782338</x:v>
      </x:c>
      <x:c r="B23" s="5" t="str">
        <x:v>FAILED</x:v>
      </x:c>
      <x:c r="C23" s="5" t="str">
        <x:v>RuntimeError: Model output failed after bounded attempts; ['organize_4bf1adb73288b5ea_6633868c', 'organize_4bf1adb73288b5ea_8dd6a6bd', 'organize_4bf1adb73288b5ea_fc5b8c6d']</x:v>
      </x:c>
      <x:c r="D23" s="5" t="str">
        <x:v>圧電素子および電気音響変換器</x:v>
      </x:c>
      <x:c r="E23" s="5" t="str">
        <x:v>53717db756590d61853e172d00c6ba2904ddc2a4d374df44d87b3519118a2739</x:v>
      </x:c>
    </x:row>
    <x:row r="24" ht="44" hidden="0" customHeight="1">
      <x:c r="A24" s="5" t="str">
        <x:v>google:94374918</x:v>
      </x:c>
      <x:c r="B24" s="5" t="str">
        <x:v>FAILED</x:v>
      </x:c>
      <x:c r="C24" s="5" t="str">
        <x:v>RuntimeError: Terminal task: six total attempts already exhausted; no silent unbounded retry</x:v>
      </x:c>
      <x:c r="D24" s="5" t="str">
        <x:v>電気音響変換器</x:v>
      </x:c>
      <x:c r="E24" s="5" t="str">
        <x:v>48c355abf1a41eca41aa364c169b9f91fd2289189e8d0bcede5fe8230ca5ab00</x:v>
      </x:c>
    </x:row>
  </x:sheetData>
  <x:conditionalFormatting sqref="A6:E24">
    <x:cfRule type="containsText" dxfId="4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d3febaa21aa14248"/>
  </x:tableParts>
</x:worksheet>
</file>